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发送工资单" sheetId="1" r:id="rId1"/>
  </sheets>
  <functionGroups builtInGroupCount="18"/>
  <externalReferences>
    <externalReference r:id="rId2"/>
    <externalReference r:id="rId3"/>
  </externalReferences>
  <calcPr calcId="152511"/>
</workbook>
</file>

<file path=xl/calcChain.xml><?xml version="1.0" encoding="utf-8"?>
<calcChain xmlns="http://schemas.openxmlformats.org/spreadsheetml/2006/main">
  <c r="AR6" i="1" l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5" i="1"/>
  <c r="AM5" i="1" l="1"/>
  <c r="AN6" i="1" l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</calcChain>
</file>

<file path=xl/sharedStrings.xml><?xml version="1.0" encoding="utf-8"?>
<sst xmlns="http://schemas.openxmlformats.org/spreadsheetml/2006/main" count="1239" uniqueCount="527">
  <si>
    <t>部门名称</t>
  </si>
  <si>
    <t>年</t>
  </si>
  <si>
    <t>月份</t>
  </si>
  <si>
    <t>人事编号</t>
  </si>
  <si>
    <t>姓名</t>
  </si>
  <si>
    <t>岗位</t>
  </si>
  <si>
    <t>薪级</t>
  </si>
  <si>
    <t>津贴</t>
  </si>
  <si>
    <t>岗贴</t>
  </si>
  <si>
    <t>职贴</t>
  </si>
  <si>
    <t>保留补贴</t>
  </si>
  <si>
    <t>房贴</t>
  </si>
  <si>
    <t>特贴</t>
  </si>
  <si>
    <t>其他津贴</t>
  </si>
  <si>
    <t>保留</t>
  </si>
  <si>
    <t>独子</t>
  </si>
  <si>
    <t>校贴</t>
  </si>
  <si>
    <t>劳酬</t>
  </si>
  <si>
    <t>其他</t>
  </si>
  <si>
    <t>合计</t>
  </si>
  <si>
    <t>房租</t>
  </si>
  <si>
    <t>水费</t>
  </si>
  <si>
    <t>电费</t>
  </si>
  <si>
    <t>失业险</t>
  </si>
  <si>
    <t>税费</t>
  </si>
  <si>
    <t>会费</t>
  </si>
  <si>
    <t>汇款</t>
  </si>
  <si>
    <t>扣保险费</t>
  </si>
  <si>
    <t>停薪</t>
  </si>
  <si>
    <t>电视</t>
  </si>
  <si>
    <t>公积金</t>
  </si>
  <si>
    <t>清洁费</t>
  </si>
  <si>
    <t>其他1</t>
  </si>
  <si>
    <t>总扣</t>
  </si>
  <si>
    <t>应发</t>
  </si>
  <si>
    <t>上尾</t>
  </si>
  <si>
    <t>本尾</t>
  </si>
  <si>
    <t>实发</t>
  </si>
  <si>
    <t>水利水电学院</t>
  </si>
  <si>
    <t>2013</t>
  </si>
  <si>
    <t>5</t>
  </si>
  <si>
    <t>谢 华</t>
  </si>
  <si>
    <t>00007283</t>
  </si>
  <si>
    <t>曾玉红</t>
  </si>
  <si>
    <t>00007370</t>
  </si>
  <si>
    <t>冯晓黎</t>
  </si>
  <si>
    <t>00007375</t>
  </si>
  <si>
    <t>李曰辰</t>
  </si>
  <si>
    <t>00007483</t>
  </si>
  <si>
    <t>王 康</t>
  </si>
  <si>
    <t>00007525</t>
  </si>
  <si>
    <t>邓金运</t>
  </si>
  <si>
    <t>00007612</t>
  </si>
  <si>
    <t>张晓春</t>
  </si>
  <si>
    <t>00007681</t>
  </si>
  <si>
    <t>刘 全</t>
  </si>
  <si>
    <t>00007720</t>
  </si>
  <si>
    <t>杨中华</t>
  </si>
  <si>
    <t>00007774</t>
  </si>
  <si>
    <t>钱忠东</t>
  </si>
  <si>
    <t>00007776</t>
  </si>
  <si>
    <t>曹志先</t>
  </si>
  <si>
    <t>00007813</t>
  </si>
  <si>
    <t>陈益峰</t>
  </si>
  <si>
    <t>00007815</t>
  </si>
  <si>
    <t>曹生荣</t>
  </si>
  <si>
    <t>00007816</t>
  </si>
  <si>
    <t>周 伟</t>
  </si>
  <si>
    <t>00007817</t>
  </si>
  <si>
    <t>孙昭华</t>
  </si>
  <si>
    <t>00007818</t>
  </si>
  <si>
    <t>李 奔</t>
  </si>
  <si>
    <t>00007907</t>
  </si>
  <si>
    <t>施玉群</t>
  </si>
  <si>
    <t>00008034</t>
  </si>
  <si>
    <t>刘 攀</t>
  </si>
  <si>
    <t>00008035</t>
  </si>
  <si>
    <t>李小平</t>
  </si>
  <si>
    <t>00008036</t>
  </si>
  <si>
    <t>金银龙</t>
  </si>
  <si>
    <t>00008088</t>
  </si>
  <si>
    <t>李 坤</t>
  </si>
  <si>
    <t>00008094</t>
  </si>
  <si>
    <t>李典庆</t>
  </si>
  <si>
    <t>00008288</t>
  </si>
  <si>
    <t>陈俊涛</t>
  </si>
  <si>
    <t>00008413</t>
  </si>
  <si>
    <t>管光华</t>
  </si>
  <si>
    <t>00008414</t>
  </si>
  <si>
    <t>张 为</t>
  </si>
  <si>
    <t>00008415</t>
  </si>
  <si>
    <t>陈 明</t>
  </si>
  <si>
    <t>00008416</t>
  </si>
  <si>
    <t>苏 凯</t>
  </si>
  <si>
    <t>00008417</t>
  </si>
  <si>
    <t>陈 华</t>
  </si>
  <si>
    <t>00008498</t>
  </si>
  <si>
    <t>杨华山</t>
  </si>
  <si>
    <t>00008820</t>
  </si>
  <si>
    <t>董前进</t>
  </si>
  <si>
    <t>00008898</t>
  </si>
  <si>
    <t>刘数华</t>
  </si>
  <si>
    <t>00008921</t>
  </si>
  <si>
    <t>徐 青</t>
  </si>
  <si>
    <t>00008996</t>
  </si>
  <si>
    <t>徐国章</t>
  </si>
  <si>
    <t>00009155</t>
  </si>
  <si>
    <t>付小莉</t>
  </si>
  <si>
    <t>00009234</t>
  </si>
  <si>
    <t>舒彩文</t>
  </si>
  <si>
    <t>00009235</t>
  </si>
  <si>
    <t>李 丹</t>
  </si>
  <si>
    <t>00009305</t>
  </si>
  <si>
    <t>顾文权</t>
  </si>
  <si>
    <t>00009334</t>
  </si>
  <si>
    <t>左志香</t>
  </si>
  <si>
    <t>00009377</t>
  </si>
  <si>
    <t>史良胜</t>
  </si>
  <si>
    <t>00009454</t>
  </si>
  <si>
    <t>夏军强</t>
  </si>
  <si>
    <t>00009460</t>
  </si>
  <si>
    <t>韩春玲</t>
  </si>
  <si>
    <t>00009650</t>
  </si>
  <si>
    <t>卫晓婧</t>
  </si>
  <si>
    <t>00009654</t>
  </si>
  <si>
    <t>程勇刚</t>
  </si>
  <si>
    <t>00009667</t>
  </si>
  <si>
    <t>刘德地</t>
  </si>
  <si>
    <t>00009671</t>
  </si>
  <si>
    <t>刘小然</t>
  </si>
  <si>
    <t>00009682</t>
  </si>
  <si>
    <t>王志远</t>
  </si>
  <si>
    <t>00009683</t>
  </si>
  <si>
    <t>韩 琦</t>
  </si>
  <si>
    <t>00009705</t>
  </si>
  <si>
    <t>张慧芸</t>
  </si>
  <si>
    <t>00009739</t>
  </si>
  <si>
    <t>潘国艳</t>
  </si>
  <si>
    <t>00009823</t>
  </si>
  <si>
    <t>严 鹏</t>
  </si>
  <si>
    <t>00009855</t>
  </si>
  <si>
    <t>何 吉</t>
  </si>
  <si>
    <t>00009934</t>
  </si>
  <si>
    <t>徐维生</t>
  </si>
  <si>
    <t>00009969</t>
  </si>
  <si>
    <t>刘 祎</t>
  </si>
  <si>
    <t>00010001</t>
  </si>
  <si>
    <t>王 博</t>
  </si>
  <si>
    <t>00010188</t>
  </si>
  <si>
    <t>段亚辉</t>
  </si>
  <si>
    <t>00010189</t>
  </si>
  <si>
    <t>梁文泉</t>
  </si>
  <si>
    <t>00010327</t>
  </si>
  <si>
    <t>宋元胜</t>
  </si>
  <si>
    <t>00010471</t>
  </si>
  <si>
    <t>周龙才</t>
  </si>
  <si>
    <t>00010475</t>
  </si>
  <si>
    <t>刘德祥</t>
  </si>
  <si>
    <t>00010483</t>
  </si>
  <si>
    <t>冯卫民</t>
  </si>
  <si>
    <t>00010485</t>
  </si>
  <si>
    <t>韩向远</t>
  </si>
  <si>
    <t>00010682</t>
  </si>
  <si>
    <t>郭生练</t>
  </si>
  <si>
    <t>00010871</t>
  </si>
  <si>
    <t>俞兆旺</t>
  </si>
  <si>
    <t>00011180</t>
  </si>
  <si>
    <t>周创兵</t>
  </si>
  <si>
    <t>00011186</t>
  </si>
  <si>
    <t>陆 丹</t>
  </si>
  <si>
    <t>00011202</t>
  </si>
  <si>
    <t>舒卫萍</t>
  </si>
  <si>
    <t>00011203</t>
  </si>
  <si>
    <t>胡承胜</t>
  </si>
  <si>
    <t>00011205</t>
  </si>
  <si>
    <t>徐占国</t>
  </si>
  <si>
    <t>00011207</t>
  </si>
  <si>
    <t>关良宝</t>
  </si>
  <si>
    <t>00011209</t>
  </si>
  <si>
    <t>孔祥元</t>
  </si>
  <si>
    <t>00011269</t>
  </si>
  <si>
    <t>王长德</t>
  </si>
  <si>
    <t>00011432</t>
  </si>
  <si>
    <t>楚湘林</t>
  </si>
  <si>
    <t>00011433</t>
  </si>
  <si>
    <t>雷 艳</t>
  </si>
  <si>
    <t>00011434</t>
  </si>
  <si>
    <t>伍鹤皋</t>
  </si>
  <si>
    <t>00011435</t>
  </si>
  <si>
    <t>杨建东</t>
  </si>
  <si>
    <t>00011436</t>
  </si>
  <si>
    <t>肖 明SD</t>
  </si>
  <si>
    <t>00011437</t>
  </si>
  <si>
    <t>赖 旭</t>
  </si>
  <si>
    <t>00011438</t>
  </si>
  <si>
    <t>程永光</t>
  </si>
  <si>
    <t>00011441</t>
  </si>
  <si>
    <t>李进平</t>
  </si>
  <si>
    <t>00011442</t>
  </si>
  <si>
    <t>袁汉芳</t>
  </si>
  <si>
    <t>00011443</t>
  </si>
  <si>
    <t>曾令刚</t>
  </si>
  <si>
    <t>00011451</t>
  </si>
  <si>
    <t>熊 英</t>
  </si>
  <si>
    <t>00011452</t>
  </si>
  <si>
    <t>刘 峰</t>
  </si>
  <si>
    <t>00011453</t>
  </si>
  <si>
    <t>梅俊祥</t>
  </si>
  <si>
    <t>00011458</t>
  </si>
  <si>
    <t>曹克桥</t>
  </si>
  <si>
    <t>00011459</t>
  </si>
  <si>
    <t>刘永和</t>
  </si>
  <si>
    <t>00011463</t>
  </si>
  <si>
    <t>陈天祥</t>
  </si>
  <si>
    <t>00011464</t>
  </si>
  <si>
    <t>魏国强</t>
  </si>
  <si>
    <t>00011466</t>
  </si>
  <si>
    <t>刘士和</t>
  </si>
  <si>
    <t>00011467</t>
  </si>
  <si>
    <t>陆 晶</t>
  </si>
  <si>
    <t>00011469</t>
  </si>
  <si>
    <t>朱铁容</t>
  </si>
  <si>
    <t>00011475</t>
  </si>
  <si>
    <t>苏 欣</t>
  </si>
  <si>
    <t>00011476</t>
  </si>
  <si>
    <t>刘玉新</t>
  </si>
  <si>
    <t>00011477</t>
  </si>
  <si>
    <t>邓念武</t>
  </si>
  <si>
    <t>00011478</t>
  </si>
  <si>
    <t>徐 晖</t>
  </si>
  <si>
    <t>00011479</t>
  </si>
  <si>
    <t>李宏明</t>
  </si>
  <si>
    <t>00011480</t>
  </si>
  <si>
    <t>荣 冠</t>
  </si>
  <si>
    <t>00011481</t>
  </si>
  <si>
    <t>王 涛SD</t>
  </si>
  <si>
    <t>00011482</t>
  </si>
  <si>
    <t>杨连生</t>
  </si>
  <si>
    <t>00011485</t>
  </si>
  <si>
    <t>曾 力</t>
  </si>
  <si>
    <t>00011486</t>
  </si>
  <si>
    <t>吴定燕</t>
  </si>
  <si>
    <t>00011489</t>
  </si>
  <si>
    <t>何 真</t>
  </si>
  <si>
    <t>00011490</t>
  </si>
  <si>
    <t>何正勇</t>
  </si>
  <si>
    <t>00011491</t>
  </si>
  <si>
    <t>阮 燕</t>
  </si>
  <si>
    <t>00011492</t>
  </si>
  <si>
    <t>涂胜金</t>
  </si>
  <si>
    <t>00011497</t>
  </si>
  <si>
    <t>徐明毅</t>
  </si>
  <si>
    <t>00011499</t>
  </si>
  <si>
    <t>何金平</t>
  </si>
  <si>
    <t>00011500</t>
  </si>
  <si>
    <t>李 民</t>
  </si>
  <si>
    <t>00011501</t>
  </si>
  <si>
    <t>赖国伟</t>
  </si>
  <si>
    <t>00011502</t>
  </si>
  <si>
    <t>李桂荣</t>
  </si>
  <si>
    <t>00011503</t>
  </si>
  <si>
    <t>佘成学</t>
  </si>
  <si>
    <t>00011505</t>
  </si>
  <si>
    <t>费文才</t>
  </si>
  <si>
    <t>00011506</t>
  </si>
  <si>
    <t>何蕴龙</t>
  </si>
  <si>
    <t>00011508</t>
  </si>
  <si>
    <t>雷川华</t>
  </si>
  <si>
    <t>00011510</t>
  </si>
  <si>
    <t>陈胜宏</t>
  </si>
  <si>
    <t>00011511</t>
  </si>
  <si>
    <t>王均星</t>
  </si>
  <si>
    <t>00011513</t>
  </si>
  <si>
    <t>吴云芳</t>
  </si>
  <si>
    <t>00011515</t>
  </si>
  <si>
    <t>肖 宜</t>
  </si>
  <si>
    <t>00011517</t>
  </si>
  <si>
    <t>贺昌海</t>
  </si>
  <si>
    <t>00011518</t>
  </si>
  <si>
    <t>朱传云</t>
  </si>
  <si>
    <t>00011519</t>
  </si>
  <si>
    <t>周力平</t>
  </si>
  <si>
    <t>00011521</t>
  </si>
  <si>
    <t>舒大强</t>
  </si>
  <si>
    <t>00011522</t>
  </si>
  <si>
    <t>申明亮</t>
  </si>
  <si>
    <t>00011523</t>
  </si>
  <si>
    <t>吴益明</t>
  </si>
  <si>
    <t>00011525</t>
  </si>
  <si>
    <t>卢文波</t>
  </si>
  <si>
    <t>00011527</t>
  </si>
  <si>
    <t>杨 磊</t>
  </si>
  <si>
    <t>00011528</t>
  </si>
  <si>
    <t>任春秀</t>
  </si>
  <si>
    <t>00011529</t>
  </si>
  <si>
    <t>胡志根</t>
  </si>
  <si>
    <t>00011560</t>
  </si>
  <si>
    <t>吴长胜</t>
  </si>
  <si>
    <t>00011561</t>
  </si>
  <si>
    <t>王学武</t>
  </si>
  <si>
    <t>00011562</t>
  </si>
  <si>
    <t>黄汉生</t>
  </si>
  <si>
    <t>00011563</t>
  </si>
  <si>
    <t>李 莫</t>
  </si>
  <si>
    <t>00011566</t>
  </si>
  <si>
    <t>贾 嘉</t>
  </si>
  <si>
    <t>00011573</t>
  </si>
  <si>
    <t>黄忠华</t>
  </si>
  <si>
    <t>00011575</t>
  </si>
  <si>
    <t>黄 爽</t>
  </si>
  <si>
    <t>00011576</t>
  </si>
  <si>
    <t>罗 强</t>
  </si>
  <si>
    <t>00011577</t>
  </si>
  <si>
    <t>董 斌</t>
  </si>
  <si>
    <t>00011578</t>
  </si>
  <si>
    <t>胡铁松</t>
  </si>
  <si>
    <t>00011579</t>
  </si>
  <si>
    <t>黄介生</t>
  </si>
  <si>
    <t>00011580</t>
  </si>
  <si>
    <t>杨金忠</t>
  </si>
  <si>
    <t>00011582</t>
  </si>
  <si>
    <t>蔡树英</t>
  </si>
  <si>
    <t>00011583</t>
  </si>
  <si>
    <t>邵东国</t>
  </si>
  <si>
    <t>00011585</t>
  </si>
  <si>
    <t>陈维宁</t>
  </si>
  <si>
    <t>00011586</t>
  </si>
  <si>
    <t>崔远来</t>
  </si>
  <si>
    <t>00011587</t>
  </si>
  <si>
    <t>王修贵</t>
  </si>
  <si>
    <t>00011588</t>
  </si>
  <si>
    <t>罗金耀</t>
  </si>
  <si>
    <t>00011590</t>
  </si>
  <si>
    <t>洪 林</t>
  </si>
  <si>
    <t>00011591</t>
  </si>
  <si>
    <t>陈秀红</t>
  </si>
  <si>
    <t>00011592</t>
  </si>
  <si>
    <t>邱元锋</t>
  </si>
  <si>
    <t>00011593</t>
  </si>
  <si>
    <t>伍靖伟</t>
  </si>
  <si>
    <t>00011595</t>
  </si>
  <si>
    <t>唐友生</t>
  </si>
  <si>
    <t>00011596</t>
  </si>
  <si>
    <t>覃奇志</t>
  </si>
  <si>
    <t>00011597</t>
  </si>
  <si>
    <t>穆秀英</t>
  </si>
  <si>
    <t>00011600</t>
  </si>
  <si>
    <t>王富庆</t>
  </si>
  <si>
    <t>00011601</t>
  </si>
  <si>
    <t>冯晓波</t>
  </si>
  <si>
    <t>00011602</t>
  </si>
  <si>
    <t>李长城</t>
  </si>
  <si>
    <t>00011603</t>
  </si>
  <si>
    <t>刘川顺</t>
  </si>
  <si>
    <t>00011606</t>
  </si>
  <si>
    <t>阮新建</t>
  </si>
  <si>
    <t>00011608</t>
  </si>
  <si>
    <t>赵荣安</t>
  </si>
  <si>
    <t>00011609</t>
  </si>
  <si>
    <t>马有国</t>
  </si>
  <si>
    <t>00011610</t>
  </si>
  <si>
    <t>石自堂</t>
  </si>
  <si>
    <t>00011611</t>
  </si>
  <si>
    <t>夏富洲</t>
  </si>
  <si>
    <t>00011612</t>
  </si>
  <si>
    <t>田兴参</t>
  </si>
  <si>
    <t>00011613</t>
  </si>
  <si>
    <t>马军朝</t>
  </si>
  <si>
    <t>00011614</t>
  </si>
  <si>
    <t>张劲松</t>
  </si>
  <si>
    <t>00011615</t>
  </si>
  <si>
    <t>方朝阳</t>
  </si>
  <si>
    <t>00011616</t>
  </si>
  <si>
    <t>狄 鸿</t>
  </si>
  <si>
    <t>00011617</t>
  </si>
  <si>
    <t>张利平</t>
  </si>
  <si>
    <t>00011618</t>
  </si>
  <si>
    <t>熊立华</t>
  </si>
  <si>
    <t>00011619</t>
  </si>
  <si>
    <t>夏 军</t>
  </si>
  <si>
    <t>00011622</t>
  </si>
  <si>
    <t>宋星原</t>
  </si>
  <si>
    <t>00011625</t>
  </si>
  <si>
    <t>李 兰</t>
  </si>
  <si>
    <t>00011627</t>
  </si>
  <si>
    <t>谢 平</t>
  </si>
  <si>
    <t>00011629</t>
  </si>
  <si>
    <t>许建明</t>
  </si>
  <si>
    <t>00011630</t>
  </si>
  <si>
    <t>肖益民</t>
  </si>
  <si>
    <t>00011631</t>
  </si>
  <si>
    <t>彭 虹</t>
  </si>
  <si>
    <t>00011632</t>
  </si>
  <si>
    <t>张 翔SL</t>
  </si>
  <si>
    <t>00011634</t>
  </si>
  <si>
    <t>姚小明</t>
  </si>
  <si>
    <t>00011635</t>
  </si>
  <si>
    <t>谈广鸣</t>
  </si>
  <si>
    <t>00011636</t>
  </si>
  <si>
    <t>熊治平</t>
  </si>
  <si>
    <t>00011637</t>
  </si>
  <si>
    <t>陈 立</t>
  </si>
  <si>
    <t>00011639</t>
  </si>
  <si>
    <t>雒 征</t>
  </si>
  <si>
    <t>00011643</t>
  </si>
  <si>
    <t>李白鸣</t>
  </si>
  <si>
    <t>00011645</t>
  </si>
  <si>
    <t>李旺兴</t>
  </si>
  <si>
    <t>00011646</t>
  </si>
  <si>
    <t>张小峰</t>
  </si>
  <si>
    <t>00011647</t>
  </si>
  <si>
    <t>李义天</t>
  </si>
  <si>
    <t>00011650</t>
  </si>
  <si>
    <t>吴卫民</t>
  </si>
  <si>
    <t>00011651</t>
  </si>
  <si>
    <t>韦直林</t>
  </si>
  <si>
    <t>00011652</t>
  </si>
  <si>
    <t>王 丹</t>
  </si>
  <si>
    <t>00011653</t>
  </si>
  <si>
    <t>余明辉</t>
  </si>
  <si>
    <t>00011655</t>
  </si>
  <si>
    <t>李可可</t>
  </si>
  <si>
    <t>00011656</t>
  </si>
  <si>
    <t>梁 利</t>
  </si>
  <si>
    <t>00011657</t>
  </si>
  <si>
    <t>王 红</t>
  </si>
  <si>
    <t>00011660</t>
  </si>
  <si>
    <t>李建雄</t>
  </si>
  <si>
    <t>00011661</t>
  </si>
  <si>
    <t>蔡映红</t>
  </si>
  <si>
    <t>00011662</t>
  </si>
  <si>
    <t>吴运卿</t>
  </si>
  <si>
    <t>00011666</t>
  </si>
  <si>
    <t>龙元英</t>
  </si>
  <si>
    <t>00011667</t>
  </si>
  <si>
    <t>钱小玉</t>
  </si>
  <si>
    <t>00011669</t>
  </si>
  <si>
    <t>付 湘</t>
  </si>
  <si>
    <t>00011670</t>
  </si>
  <si>
    <t>王 放</t>
  </si>
  <si>
    <t>00011671</t>
  </si>
  <si>
    <t>高似春</t>
  </si>
  <si>
    <t>00011672</t>
  </si>
  <si>
    <t>梅亚东</t>
  </si>
  <si>
    <t>00011673</t>
  </si>
  <si>
    <t>陈森林</t>
  </si>
  <si>
    <t>00011677</t>
  </si>
  <si>
    <t>万 俊</t>
  </si>
  <si>
    <t>00011680</t>
  </si>
  <si>
    <t>艾学山</t>
  </si>
  <si>
    <t>00011681</t>
  </si>
  <si>
    <t>万 飚</t>
  </si>
  <si>
    <t>00011682</t>
  </si>
  <si>
    <t>马 勇</t>
  </si>
  <si>
    <t>00011683</t>
  </si>
  <si>
    <t>李 琼</t>
  </si>
  <si>
    <t>00011685</t>
  </si>
  <si>
    <t>黄社华</t>
  </si>
  <si>
    <t>00011686</t>
  </si>
  <si>
    <t>齐鄂荣</t>
  </si>
  <si>
    <t>00011688</t>
  </si>
  <si>
    <t>赵 昕</t>
  </si>
  <si>
    <t>00011689</t>
  </si>
  <si>
    <t>王京辉</t>
  </si>
  <si>
    <t>00011692</t>
  </si>
  <si>
    <t>槐文信</t>
  </si>
  <si>
    <t>00011693</t>
  </si>
  <si>
    <t>杨晓亭</t>
  </si>
  <si>
    <t>00011695</t>
  </si>
  <si>
    <t>杨万红</t>
  </si>
  <si>
    <t>00011697</t>
  </si>
  <si>
    <t>吕一红</t>
  </si>
  <si>
    <t>00011699</t>
  </si>
  <si>
    <t>赵明登</t>
  </si>
  <si>
    <t>00011702</t>
  </si>
  <si>
    <t>陈隆斌</t>
  </si>
  <si>
    <t>00011704</t>
  </si>
  <si>
    <t>陈大宏</t>
  </si>
  <si>
    <t>00011876</t>
  </si>
  <si>
    <t>高作平</t>
  </si>
  <si>
    <t>00011884</t>
  </si>
  <si>
    <t>林 涛</t>
  </si>
  <si>
    <t>00012061</t>
  </si>
  <si>
    <t>杨国录</t>
  </si>
  <si>
    <t>00012181</t>
  </si>
  <si>
    <t>屈文谦</t>
  </si>
  <si>
    <t>00012212</t>
  </si>
  <si>
    <t>常晓林</t>
  </si>
  <si>
    <t>00012510</t>
  </si>
  <si>
    <t>周玉霞</t>
  </si>
  <si>
    <t>00014917</t>
  </si>
  <si>
    <t>茆 智</t>
  </si>
  <si>
    <t>00030122</t>
  </si>
  <si>
    <t>张艳军</t>
  </si>
  <si>
    <t>00030234</t>
  </si>
  <si>
    <t>DavidRhe</t>
  </si>
  <si>
    <t>00030237</t>
  </si>
  <si>
    <t>林 琳</t>
  </si>
  <si>
    <t>00030264</t>
  </si>
  <si>
    <t>向 昭</t>
  </si>
  <si>
    <t>00030275</t>
  </si>
  <si>
    <t>陈 欢</t>
  </si>
  <si>
    <t>00030305</t>
  </si>
  <si>
    <t>吴 琳</t>
  </si>
  <si>
    <t>00030306</t>
  </si>
  <si>
    <t>00030310</t>
  </si>
  <si>
    <t>刘嘉梅</t>
  </si>
  <si>
    <t>00030335</t>
  </si>
  <si>
    <t>郭志伟</t>
  </si>
  <si>
    <t>00030340</t>
  </si>
  <si>
    <t>石长征</t>
  </si>
  <si>
    <t>00030390</t>
  </si>
  <si>
    <t>李 玲</t>
  </si>
  <si>
    <t>00030451</t>
  </si>
  <si>
    <t>蔡新华</t>
  </si>
  <si>
    <t>应发岗贴</t>
  </si>
  <si>
    <t>岗贴扣税</t>
  </si>
  <si>
    <t>过节费</t>
    <phoneticPr fontId="6" type="noConversion"/>
  </si>
  <si>
    <t>奖金</t>
    <phoneticPr fontId="2" type="noConversion"/>
  </si>
  <si>
    <t>其他2</t>
    <phoneticPr fontId="2" type="noConversion"/>
  </si>
  <si>
    <t>邮箱</t>
    <phoneticPr fontId="2" type="noConversion"/>
  </si>
  <si>
    <t>00007282</t>
    <phoneticPr fontId="2" type="noConversion"/>
  </si>
  <si>
    <t>在B1中输入主题</t>
    <phoneticPr fontId="2" type="noConversion"/>
  </si>
  <si>
    <t>在D1中输入正文</t>
    <phoneticPr fontId="2" type="noConversion"/>
  </si>
  <si>
    <t>主题</t>
    <phoneticPr fontId="2" type="noConversion"/>
  </si>
  <si>
    <t>正文</t>
    <phoneticPr fontId="2" type="noConversion"/>
  </si>
  <si>
    <t>这是几月的工资单？（只输入数字）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</si>
</sst>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scheme val="minor"/>
    </font>
    <font>
      <sz val="9"/>
      <color rgb="FFFFFFFF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0"/>
      <name val="Geneva"/>
      <family val="2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159BD"/>
        <bgColor indexed="64"/>
      </patternFill>
    </fill>
    <fill>
      <patternFill patternType="solid">
        <fgColor rgb="FFEEF9FF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rgb="FF6495ED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medium">
        <color rgb="FF6495ED"/>
      </top>
      <bottom style="thin">
        <color rgb="FF000000"/>
      </bottom>
      <diagonal/>
    </border>
    <border>
      <left style="medium">
        <color rgb="FF6495ED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thin">
        <color rgb="FF000000"/>
      </top>
      <bottom style="thin">
        <color rgb="FF000000"/>
      </bottom>
      <diagonal/>
    </border>
    <border>
      <left style="medium">
        <color rgb="FF6495ED"/>
      </left>
      <right style="thin">
        <color rgb="FF000000"/>
      </right>
      <top style="thin">
        <color rgb="FF000000"/>
      </top>
      <bottom style="medium">
        <color rgb="FF6495E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6495ED"/>
      </bottom>
      <diagonal/>
    </border>
    <border>
      <left style="thin">
        <color rgb="FF000000"/>
      </left>
      <right style="medium">
        <color rgb="FF6495ED"/>
      </right>
      <top style="thin">
        <color rgb="FF000000"/>
      </top>
      <bottom style="medium">
        <color rgb="FF6495E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0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left" vertical="center"/>
    </xf>
    <xf numFmtId="49" fontId="3" fillId="3" borderId="5" xfId="0" applyNumberFormat="1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right" vertical="center"/>
    </xf>
    <xf numFmtId="49" fontId="3" fillId="3" borderId="7" xfId="0" applyNumberFormat="1" applyFont="1" applyFill="1" applyBorder="1" applyAlignment="1">
      <alignment horizontal="left" vertical="center"/>
    </xf>
    <xf numFmtId="49" fontId="3" fillId="3" borderId="8" xfId="0" applyNumberFormat="1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right" vertical="center"/>
    </xf>
    <xf numFmtId="0" fontId="3" fillId="3" borderId="9" xfId="0" applyFont="1" applyFill="1" applyBorder="1" applyAlignment="1">
      <alignment horizontal="right" vertical="center"/>
    </xf>
    <xf numFmtId="0" fontId="5" fillId="4" borderId="10" xfId="1" applyFont="1" applyFill="1" applyBorder="1" applyAlignment="1">
      <alignment horizontal="center" vertical="center" wrapText="1"/>
    </xf>
    <xf numFmtId="0" fontId="0" fillId="0" borderId="0" xfId="0" applyNumberFormat="1"/>
    <xf numFmtId="0" fontId="5" fillId="4" borderId="10" xfId="1" applyNumberFormat="1" applyFont="1" applyFill="1" applyBorder="1" applyAlignment="1">
      <alignment horizontal="center" vertical="center" wrapText="1"/>
    </xf>
    <xf numFmtId="0" fontId="1" fillId="2" borderId="2" xfId="0" applyNumberFormat="1" applyFont="1" applyFill="1" applyBorder="1" applyAlignment="1">
      <alignment horizontal="center" vertical="center"/>
    </xf>
    <xf numFmtId="0" fontId="3" fillId="3" borderId="5" xfId="0" applyNumberFormat="1" applyFont="1" applyFill="1" applyBorder="1" applyAlignment="1">
      <alignment horizontal="left" vertical="center"/>
    </xf>
    <xf numFmtId="0" fontId="3" fillId="3" borderId="8" xfId="0" applyNumberFormat="1" applyFont="1" applyFill="1" applyBorder="1" applyAlignment="1">
      <alignment horizontal="left" vertical="center"/>
    </xf>
    <xf numFmtId="0" fontId="0" fillId="5" borderId="0" xfId="0" applyFill="1" applyAlignment="1">
      <alignment wrapText="1"/>
    </xf>
  </cellXfs>
  <cellStyles count="2">
    <cellStyle name="常规" xfId="0" builtinId="0"/>
    <cellStyle name="常规_2007年11月海信普通商家考核表" xfId="1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0</xdr:row>
      <xdr:rowOff>180974</xdr:rowOff>
    </xdr:from>
    <xdr:to>
      <xdr:col>13</xdr:col>
      <xdr:colOff>28575</xdr:colOff>
      <xdr:row>0</xdr:row>
      <xdr:rowOff>590549</xdr:rowOff>
    </xdr:to>
    <xdr:sp macro="[0]!创建并发送每个人的工资图片" textlink="">
      <xdr:nvSpPr>
        <xdr:cNvPr id="4" name="文本框 3"/>
        <xdr:cNvSpPr txBox="1"/>
      </xdr:nvSpPr>
      <xdr:spPr>
        <a:xfrm>
          <a:off x="4800601" y="180974"/>
          <a:ext cx="4143374" cy="409575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>
              <a:solidFill>
                <a:schemeClr val="bg1"/>
              </a:solidFill>
            </a:rPr>
            <a:t>填完左侧内容后点击此处开始发送邮件</a:t>
          </a:r>
          <a:endParaRPr lang="en-US" altLang="zh-CN" sz="1800">
            <a:solidFill>
              <a:schemeClr val="bg1"/>
            </a:solidFill>
          </a:endParaRPr>
        </a:p>
        <a:p>
          <a:endParaRPr lang="zh-CN" altLang="en-US" sz="1100"/>
        </a:p>
      </xdr:txBody>
    </xdr:sp>
    <xdr:clientData/>
  </xdr:twoCellAnchor>
  <xdr:twoCellAnchor>
    <xdr:from>
      <xdr:col>13</xdr:col>
      <xdr:colOff>95250</xdr:colOff>
      <xdr:row>0</xdr:row>
      <xdr:rowOff>19050</xdr:rowOff>
    </xdr:from>
    <xdr:to>
      <xdr:col>19</xdr:col>
      <xdr:colOff>28575</xdr:colOff>
      <xdr:row>0</xdr:row>
      <xdr:rowOff>685800</xdr:rowOff>
    </xdr:to>
    <xdr:sp macro="" textlink="">
      <xdr:nvSpPr>
        <xdr:cNvPr id="2" name="文本框 1"/>
        <xdr:cNvSpPr txBox="1"/>
      </xdr:nvSpPr>
      <xdr:spPr>
        <a:xfrm>
          <a:off x="9010650" y="19050"/>
          <a:ext cx="4048125" cy="66675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600">
              <a:solidFill>
                <a:srgbClr val="FFFF00"/>
              </a:solidFill>
            </a:rPr>
            <a:t>请注意，先粘贴学校工资至此，再更新院内岗贴及每个人的邮箱，勿更改单元格位置</a:t>
          </a:r>
          <a:endParaRPr lang="en-US" altLang="zh-CN" sz="1600">
            <a:solidFill>
              <a:srgbClr val="FFFF00"/>
            </a:solidFill>
          </a:endParaRPr>
        </a:p>
        <a:p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3703;&#36148;&#19994;&#32489;&#27941;&#36148;&#31246;&#37329;&#35745;&#31639;&#34920;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555;&#30424;\Excel&#21457;&#24037;&#36164;&#21333;\&#24037;&#36164;\contac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部报表_无人事号"/>
      <sheetName val="财务部报表_有人事号"/>
      <sheetName val="银行报表"/>
      <sheetName val="扣税计算"/>
    </sheetNames>
    <sheetDataSet>
      <sheetData sheetId="0"/>
      <sheetData sheetId="1">
        <row r="2">
          <cell r="A2" t="str">
            <v>00014917</v>
          </cell>
          <cell r="B2" t="str">
            <v>茆 智</v>
          </cell>
          <cell r="C2">
            <v>20000</v>
          </cell>
          <cell r="D2">
            <v>0</v>
          </cell>
          <cell r="E2" t="str">
            <v>3202160601010412525</v>
          </cell>
        </row>
        <row r="3">
          <cell r="A3" t="str">
            <v>00011580</v>
          </cell>
          <cell r="B3" t="str">
            <v>杨金忠</v>
          </cell>
          <cell r="C3">
            <v>4950</v>
          </cell>
          <cell r="D3">
            <v>0</v>
          </cell>
          <cell r="E3" t="str">
            <v>3202160601010415080</v>
          </cell>
        </row>
        <row r="4">
          <cell r="A4" t="str">
            <v>00011582</v>
          </cell>
          <cell r="B4" t="str">
            <v>蔡树英</v>
          </cell>
          <cell r="C4">
            <v>4150</v>
          </cell>
          <cell r="D4">
            <v>482.8</v>
          </cell>
          <cell r="E4" t="str">
            <v>3202160601060525501</v>
          </cell>
        </row>
        <row r="5">
          <cell r="A5" t="str">
            <v>00011588</v>
          </cell>
          <cell r="B5" t="str">
            <v>罗金耀</v>
          </cell>
          <cell r="C5">
            <v>4150</v>
          </cell>
          <cell r="D5">
            <v>473.7</v>
          </cell>
          <cell r="E5" t="str">
            <v>3202160601010414329</v>
          </cell>
        </row>
        <row r="6">
          <cell r="A6" t="str">
            <v>00011579</v>
          </cell>
          <cell r="B6" t="str">
            <v>黄介生</v>
          </cell>
          <cell r="C6">
            <v>5650</v>
          </cell>
          <cell r="D6">
            <v>756.76</v>
          </cell>
          <cell r="E6" t="str">
            <v>3202160601010412126</v>
          </cell>
        </row>
        <row r="7">
          <cell r="A7" t="str">
            <v>00011578</v>
          </cell>
          <cell r="B7" t="str">
            <v>胡铁松</v>
          </cell>
          <cell r="C7">
            <v>4150</v>
          </cell>
          <cell r="D7">
            <v>451.05</v>
          </cell>
          <cell r="E7" t="str">
            <v>3202160601010412002</v>
          </cell>
        </row>
        <row r="8">
          <cell r="A8" t="str">
            <v>00011583</v>
          </cell>
          <cell r="B8" t="str">
            <v>邵东国</v>
          </cell>
          <cell r="C8">
            <v>6550</v>
          </cell>
          <cell r="D8">
            <v>915.28000000000009</v>
          </cell>
          <cell r="E8" t="str">
            <v>3202160601010413551</v>
          </cell>
        </row>
        <row r="9">
          <cell r="A9" t="str">
            <v>00011586</v>
          </cell>
          <cell r="B9" t="str">
            <v>崔远来</v>
          </cell>
          <cell r="C9">
            <v>4150</v>
          </cell>
          <cell r="D9">
            <v>430.25</v>
          </cell>
          <cell r="E9" t="str">
            <v>3202160601010413303</v>
          </cell>
        </row>
        <row r="10">
          <cell r="A10" t="str">
            <v>00011587</v>
          </cell>
          <cell r="B10" t="str">
            <v>王修贵</v>
          </cell>
          <cell r="C10">
            <v>3350</v>
          </cell>
          <cell r="D10">
            <v>274.94</v>
          </cell>
          <cell r="E10" t="str">
            <v>3202160601010415107</v>
          </cell>
        </row>
        <row r="11">
          <cell r="A11" t="str">
            <v>00011590</v>
          </cell>
          <cell r="B11" t="str">
            <v>洪 林</v>
          </cell>
          <cell r="C11">
            <v>3350</v>
          </cell>
          <cell r="D11">
            <v>276.33999999999997</v>
          </cell>
          <cell r="E11" t="str">
            <v>3202160601010414728</v>
          </cell>
        </row>
        <row r="12">
          <cell r="A12" t="str">
            <v>00011577</v>
          </cell>
          <cell r="B12" t="str">
            <v>董 斌</v>
          </cell>
          <cell r="C12">
            <v>3350</v>
          </cell>
          <cell r="D12">
            <v>260.44</v>
          </cell>
          <cell r="E12" t="str">
            <v>3202160601010411472</v>
          </cell>
        </row>
        <row r="13">
          <cell r="A13" t="str">
            <v>00010001</v>
          </cell>
          <cell r="B13" t="str">
            <v>王 博</v>
          </cell>
          <cell r="C13">
            <v>2100</v>
          </cell>
          <cell r="D13">
            <v>96.36</v>
          </cell>
          <cell r="E13" t="str">
            <v>3202160601010415231</v>
          </cell>
        </row>
        <row r="14">
          <cell r="A14" t="str">
            <v>00011585</v>
          </cell>
          <cell r="B14" t="str">
            <v>陈维宁</v>
          </cell>
          <cell r="C14">
            <v>640</v>
          </cell>
          <cell r="D14">
            <v>0</v>
          </cell>
          <cell r="E14" t="str">
            <v>3202160601010414976</v>
          </cell>
        </row>
        <row r="15">
          <cell r="A15" t="str">
            <v>00011576</v>
          </cell>
          <cell r="B15" t="str">
            <v>罗 强</v>
          </cell>
          <cell r="C15">
            <v>2100</v>
          </cell>
          <cell r="D15">
            <v>82.55</v>
          </cell>
          <cell r="E15" t="str">
            <v>3202160601010636044</v>
          </cell>
        </row>
        <row r="16">
          <cell r="A16" t="str">
            <v>00011591</v>
          </cell>
          <cell r="B16" t="str">
            <v>陈秀红</v>
          </cell>
          <cell r="C16">
            <v>1300</v>
          </cell>
          <cell r="D16">
            <v>15.68</v>
          </cell>
          <cell r="E16" t="str">
            <v>3202160601010649605</v>
          </cell>
        </row>
        <row r="17">
          <cell r="A17" t="str">
            <v>00011575</v>
          </cell>
          <cell r="B17" t="str">
            <v>黄 爽</v>
          </cell>
          <cell r="C17">
            <v>1950</v>
          </cell>
          <cell r="D17">
            <v>0</v>
          </cell>
          <cell r="E17" t="str">
            <v>3202160601010653150</v>
          </cell>
        </row>
        <row r="18">
          <cell r="A18" t="str">
            <v>00011593</v>
          </cell>
          <cell r="B18" t="str">
            <v>伍靖伟</v>
          </cell>
          <cell r="C18">
            <v>1950</v>
          </cell>
          <cell r="D18">
            <v>45.8</v>
          </cell>
          <cell r="E18" t="str">
            <v>3202160601010820550</v>
          </cell>
        </row>
        <row r="19">
          <cell r="A19" t="str">
            <v>00011592</v>
          </cell>
          <cell r="B19" t="str">
            <v>邱元锋</v>
          </cell>
          <cell r="C19">
            <v>1430</v>
          </cell>
          <cell r="D19">
            <v>18.36</v>
          </cell>
          <cell r="E19" t="str">
            <v>3202160601010866783</v>
          </cell>
        </row>
        <row r="20">
          <cell r="A20" t="str">
            <v>00007483</v>
          </cell>
          <cell r="B20" t="str">
            <v>王 康</v>
          </cell>
          <cell r="C20">
            <v>3350</v>
          </cell>
          <cell r="D20">
            <v>254.22000000000003</v>
          </cell>
          <cell r="E20" t="str">
            <v>3202160601060159028</v>
          </cell>
        </row>
        <row r="21">
          <cell r="A21" t="str">
            <v>00008035</v>
          </cell>
          <cell r="B21" t="str">
            <v>李小平</v>
          </cell>
          <cell r="C21">
            <v>1430</v>
          </cell>
          <cell r="D21">
            <v>17.149999999999999</v>
          </cell>
          <cell r="E21" t="str">
            <v>3202160601062235073</v>
          </cell>
        </row>
        <row r="22">
          <cell r="A22" t="str">
            <v>00009305</v>
          </cell>
          <cell r="B22" t="str">
            <v>顾文权</v>
          </cell>
          <cell r="C22">
            <v>1430</v>
          </cell>
          <cell r="D22">
            <v>14.93</v>
          </cell>
          <cell r="E22" t="str">
            <v>3202160601064301762</v>
          </cell>
        </row>
        <row r="23">
          <cell r="A23" t="str">
            <v>00009377</v>
          </cell>
          <cell r="B23" t="str">
            <v>史良胜</v>
          </cell>
          <cell r="C23">
            <v>5000</v>
          </cell>
          <cell r="D23">
            <v>341.23</v>
          </cell>
          <cell r="E23" t="str">
            <v>3202160601064342040</v>
          </cell>
        </row>
        <row r="24">
          <cell r="A24" t="str">
            <v>00011269</v>
          </cell>
          <cell r="B24" t="str">
            <v>王长德</v>
          </cell>
          <cell r="C24">
            <v>4950</v>
          </cell>
          <cell r="D24">
            <v>0</v>
          </cell>
          <cell r="E24" t="str">
            <v>3202160601010416408</v>
          </cell>
        </row>
        <row r="25">
          <cell r="A25" t="str">
            <v>00011610</v>
          </cell>
          <cell r="B25" t="str">
            <v>石自堂</v>
          </cell>
          <cell r="C25">
            <v>3350</v>
          </cell>
          <cell r="D25">
            <v>283.77999999999997</v>
          </cell>
          <cell r="E25" t="str">
            <v>3202160601010416532</v>
          </cell>
        </row>
        <row r="26">
          <cell r="A26" t="str">
            <v>00011603</v>
          </cell>
          <cell r="B26" t="str">
            <v>刘川顺</v>
          </cell>
          <cell r="C26">
            <v>3350</v>
          </cell>
          <cell r="D26">
            <v>277.01000000000005</v>
          </cell>
          <cell r="E26" t="str">
            <v>3202160601010417310</v>
          </cell>
        </row>
        <row r="27">
          <cell r="A27" t="str">
            <v>00011602</v>
          </cell>
          <cell r="B27" t="str">
            <v>李长城</v>
          </cell>
          <cell r="C27">
            <v>2100</v>
          </cell>
          <cell r="D27">
            <v>114.97</v>
          </cell>
          <cell r="E27" t="str">
            <v>3202160601010639823</v>
          </cell>
        </row>
        <row r="28">
          <cell r="A28" t="str">
            <v>00011609</v>
          </cell>
          <cell r="B28" t="str">
            <v>马有国</v>
          </cell>
          <cell r="C28">
            <v>2300</v>
          </cell>
          <cell r="D28">
            <v>141.03</v>
          </cell>
          <cell r="E28" t="str">
            <v>3202160601010416931</v>
          </cell>
        </row>
        <row r="29">
          <cell r="A29" t="str">
            <v>00011611</v>
          </cell>
          <cell r="B29" t="str">
            <v>夏富洲</v>
          </cell>
          <cell r="C29">
            <v>2300</v>
          </cell>
          <cell r="D29">
            <v>136.88999999999999</v>
          </cell>
          <cell r="E29" t="str">
            <v>3202160601010416807</v>
          </cell>
        </row>
        <row r="30">
          <cell r="A30" t="str">
            <v>00011606</v>
          </cell>
          <cell r="B30" t="str">
            <v>阮新建</v>
          </cell>
          <cell r="C30">
            <v>3350</v>
          </cell>
          <cell r="D30">
            <v>274.94</v>
          </cell>
          <cell r="E30" t="str">
            <v>3202160601010501505</v>
          </cell>
        </row>
        <row r="31">
          <cell r="A31" t="str">
            <v>00011612</v>
          </cell>
          <cell r="B31" t="str">
            <v>田兴参</v>
          </cell>
          <cell r="C31">
            <v>1950</v>
          </cell>
          <cell r="D31">
            <v>67.7</v>
          </cell>
          <cell r="E31" t="str">
            <v>3202160601010416780</v>
          </cell>
        </row>
        <row r="32">
          <cell r="A32" t="str">
            <v>00007907</v>
          </cell>
          <cell r="B32" t="str">
            <v>施玉群</v>
          </cell>
          <cell r="C32">
            <v>1950</v>
          </cell>
          <cell r="D32">
            <v>69.7</v>
          </cell>
          <cell r="E32" t="str">
            <v>3202160601064720622</v>
          </cell>
        </row>
        <row r="33">
          <cell r="A33" t="str">
            <v>00011614</v>
          </cell>
          <cell r="B33" t="str">
            <v>张劲松</v>
          </cell>
          <cell r="C33">
            <v>1950</v>
          </cell>
          <cell r="D33">
            <v>60.8</v>
          </cell>
          <cell r="E33" t="str">
            <v>3202160601010422307</v>
          </cell>
        </row>
        <row r="34">
          <cell r="A34" t="str">
            <v>00011615</v>
          </cell>
          <cell r="B34" t="str">
            <v>方朝阳</v>
          </cell>
          <cell r="C34">
            <v>2100</v>
          </cell>
          <cell r="D34">
            <v>86.99</v>
          </cell>
          <cell r="E34" t="str">
            <v>3202160601010422280</v>
          </cell>
        </row>
        <row r="35">
          <cell r="A35" t="str">
            <v>00008094</v>
          </cell>
          <cell r="B35" t="str">
            <v>李典庆</v>
          </cell>
          <cell r="C35">
            <v>10000</v>
          </cell>
          <cell r="D35">
            <v>1647.08</v>
          </cell>
          <cell r="E35" t="str">
            <v>3202160601062233819</v>
          </cell>
        </row>
        <row r="36">
          <cell r="A36" t="str">
            <v>00011613</v>
          </cell>
          <cell r="B36" t="str">
            <v>马军朝</v>
          </cell>
          <cell r="C36">
            <v>1580</v>
          </cell>
          <cell r="D36">
            <v>32.17</v>
          </cell>
          <cell r="E36" t="str">
            <v>3202160601010416656</v>
          </cell>
        </row>
        <row r="37">
          <cell r="A37" t="str">
            <v>00011601</v>
          </cell>
          <cell r="B37" t="str">
            <v>冯晓波</v>
          </cell>
          <cell r="C37">
            <v>1430</v>
          </cell>
          <cell r="D37">
            <v>18.98</v>
          </cell>
          <cell r="E37" t="str">
            <v>3202160601010704035</v>
          </cell>
        </row>
        <row r="38">
          <cell r="A38" t="str">
            <v>00008413</v>
          </cell>
          <cell r="B38" t="str">
            <v>管光华</v>
          </cell>
          <cell r="C38">
            <v>1950</v>
          </cell>
          <cell r="D38">
            <v>43.46</v>
          </cell>
          <cell r="E38" t="str">
            <v>3202160601063195983</v>
          </cell>
        </row>
        <row r="39">
          <cell r="A39" t="str">
            <v>00010483</v>
          </cell>
          <cell r="B39" t="str">
            <v>冯卫民</v>
          </cell>
          <cell r="C39">
            <v>3350</v>
          </cell>
          <cell r="D39">
            <v>283.77999999999997</v>
          </cell>
          <cell r="E39" t="str">
            <v>6222083202002213904</v>
          </cell>
        </row>
        <row r="40">
          <cell r="A40" t="str">
            <v>00030335</v>
          </cell>
          <cell r="B40" t="str">
            <v>郭志伟</v>
          </cell>
          <cell r="C40">
            <v>1600</v>
          </cell>
          <cell r="D40">
            <v>39.15</v>
          </cell>
          <cell r="E40" t="str">
            <v>6222023202048765217</v>
          </cell>
        </row>
        <row r="41">
          <cell r="A41" t="str">
            <v>00010475</v>
          </cell>
          <cell r="B41" t="str">
            <v>刘德祥</v>
          </cell>
          <cell r="C41">
            <v>2300</v>
          </cell>
          <cell r="D41">
            <v>134.82000000000002</v>
          </cell>
          <cell r="E41" t="str">
            <v>3202160601010418983</v>
          </cell>
        </row>
        <row r="42">
          <cell r="A42" t="str">
            <v>00007774</v>
          </cell>
          <cell r="B42" t="str">
            <v>钱忠东</v>
          </cell>
          <cell r="C42">
            <v>5000</v>
          </cell>
          <cell r="D42">
            <v>507.5</v>
          </cell>
          <cell r="E42" t="str">
            <v>3202160601061344501</v>
          </cell>
        </row>
        <row r="43">
          <cell r="A43" t="str">
            <v>00010471</v>
          </cell>
          <cell r="B43" t="str">
            <v>周龙才</v>
          </cell>
          <cell r="C43">
            <v>2100</v>
          </cell>
          <cell r="D43">
            <v>82.55</v>
          </cell>
          <cell r="E43" t="str">
            <v>3202160601010639149</v>
          </cell>
        </row>
        <row r="44">
          <cell r="A44" t="str">
            <v>00010327</v>
          </cell>
          <cell r="B44" t="str">
            <v>宋元胜</v>
          </cell>
          <cell r="C44">
            <v>2100</v>
          </cell>
          <cell r="D44">
            <v>101.49</v>
          </cell>
          <cell r="E44" t="str">
            <v>3202160601010419486</v>
          </cell>
        </row>
        <row r="45">
          <cell r="A45" t="str">
            <v>00007282</v>
          </cell>
          <cell r="B45" t="str">
            <v>谢 华</v>
          </cell>
          <cell r="C45">
            <v>1950</v>
          </cell>
          <cell r="D45">
            <v>44.06</v>
          </cell>
          <cell r="E45" t="str">
            <v>3202160601011057572</v>
          </cell>
        </row>
        <row r="46">
          <cell r="A46" t="str">
            <v>00011635</v>
          </cell>
          <cell r="B46" t="str">
            <v>谈广鸣</v>
          </cell>
          <cell r="C46">
            <v>6500</v>
          </cell>
          <cell r="D46">
            <v>975.84</v>
          </cell>
          <cell r="E46" t="str">
            <v>3202160601010424483</v>
          </cell>
        </row>
        <row r="47">
          <cell r="A47" t="str">
            <v>00011647</v>
          </cell>
          <cell r="B47" t="str">
            <v>李义天</v>
          </cell>
          <cell r="C47">
            <v>9950</v>
          </cell>
          <cell r="D47">
            <v>1827.3000000000002</v>
          </cell>
          <cell r="E47" t="str">
            <v>3202160601010429144</v>
          </cell>
        </row>
        <row r="48">
          <cell r="A48" t="str">
            <v>00012061</v>
          </cell>
          <cell r="B48" t="str">
            <v>杨国录</v>
          </cell>
          <cell r="C48">
            <v>4950</v>
          </cell>
          <cell r="D48">
            <v>699.86</v>
          </cell>
          <cell r="E48" t="str">
            <v>3202160601011293315</v>
          </cell>
        </row>
        <row r="49">
          <cell r="A49" t="str">
            <v>00011637</v>
          </cell>
          <cell r="B49" t="str">
            <v>陈 立</v>
          </cell>
          <cell r="C49">
            <v>5350</v>
          </cell>
          <cell r="D49">
            <v>691.05</v>
          </cell>
          <cell r="E49" t="str">
            <v>3202160601010424758</v>
          </cell>
        </row>
        <row r="50">
          <cell r="A50" t="str">
            <v>00009454</v>
          </cell>
          <cell r="B50" t="str">
            <v>夏军强</v>
          </cell>
          <cell r="C50">
            <v>7500</v>
          </cell>
          <cell r="D50">
            <v>1058.6500000000001</v>
          </cell>
          <cell r="E50" t="str">
            <v>3202160601064510590</v>
          </cell>
        </row>
        <row r="51">
          <cell r="A51" t="str">
            <v>00009234</v>
          </cell>
          <cell r="B51" t="str">
            <v>舒彩文</v>
          </cell>
          <cell r="C51">
            <v>1950</v>
          </cell>
          <cell r="D51">
            <v>41.84</v>
          </cell>
          <cell r="E51" t="str">
            <v>6222083202003483068</v>
          </cell>
        </row>
        <row r="52">
          <cell r="A52" t="str">
            <v>00011646</v>
          </cell>
          <cell r="B52" t="str">
            <v>张小峰</v>
          </cell>
          <cell r="C52">
            <v>4150</v>
          </cell>
          <cell r="D52">
            <v>467.99</v>
          </cell>
          <cell r="E52" t="str">
            <v>3202160601010424634</v>
          </cell>
        </row>
        <row r="53">
          <cell r="A53" t="str">
            <v>00011651</v>
          </cell>
          <cell r="B53" t="str">
            <v>韦直林</v>
          </cell>
          <cell r="C53">
            <v>4150</v>
          </cell>
          <cell r="D53">
            <v>479.40000000000003</v>
          </cell>
          <cell r="E53" t="str">
            <v>3202160601010428916</v>
          </cell>
        </row>
        <row r="54">
          <cell r="A54" t="str">
            <v>00007776</v>
          </cell>
          <cell r="B54" t="str">
            <v>曹志先</v>
          </cell>
          <cell r="C54">
            <v>4950</v>
          </cell>
          <cell r="D54">
            <v>671.55</v>
          </cell>
          <cell r="E54" t="str">
            <v>3202160601061344474</v>
          </cell>
        </row>
        <row r="55">
          <cell r="A55" t="str">
            <v>00011636</v>
          </cell>
          <cell r="B55" t="str">
            <v>熊治平</v>
          </cell>
          <cell r="C55">
            <v>2300</v>
          </cell>
          <cell r="D55">
            <v>150.07</v>
          </cell>
          <cell r="E55" t="str">
            <v>3202160601010423980</v>
          </cell>
        </row>
        <row r="56">
          <cell r="A56" t="str">
            <v>00011650</v>
          </cell>
          <cell r="B56" t="str">
            <v>吴卫民</v>
          </cell>
          <cell r="C56">
            <v>2300</v>
          </cell>
          <cell r="D56">
            <v>145.45000000000002</v>
          </cell>
          <cell r="E56" t="str">
            <v>3202160601010429392</v>
          </cell>
        </row>
        <row r="57">
          <cell r="A57" t="str">
            <v>00011653</v>
          </cell>
          <cell r="B57" t="str">
            <v>余明辉</v>
          </cell>
          <cell r="C57">
            <v>3350</v>
          </cell>
          <cell r="D57">
            <v>261.84000000000003</v>
          </cell>
          <cell r="E57" t="str">
            <v>3202160601010705061</v>
          </cell>
        </row>
        <row r="58">
          <cell r="A58" t="str">
            <v>00007525</v>
          </cell>
          <cell r="B58" t="str">
            <v>邓金运</v>
          </cell>
          <cell r="C58">
            <v>1950</v>
          </cell>
          <cell r="D58">
            <v>44.62</v>
          </cell>
          <cell r="E58" t="str">
            <v>3202160601060207331</v>
          </cell>
        </row>
        <row r="59">
          <cell r="A59" t="str">
            <v>00007817</v>
          </cell>
          <cell r="B59" t="str">
            <v>孙昭华</v>
          </cell>
          <cell r="C59">
            <v>1950</v>
          </cell>
          <cell r="D59">
            <v>44.06</v>
          </cell>
          <cell r="E59" t="str">
            <v>3202160601061673452</v>
          </cell>
        </row>
        <row r="60">
          <cell r="A60" t="str">
            <v>00008414</v>
          </cell>
          <cell r="B60" t="str">
            <v>张 为</v>
          </cell>
          <cell r="C60">
            <v>1950</v>
          </cell>
          <cell r="D60">
            <v>43.46</v>
          </cell>
          <cell r="E60" t="str">
            <v>3202160601063196087</v>
          </cell>
        </row>
        <row r="61">
          <cell r="A61" t="str">
            <v>00011655</v>
          </cell>
          <cell r="B61" t="str">
            <v>李可可</v>
          </cell>
          <cell r="C61">
            <v>3350</v>
          </cell>
          <cell r="D61">
            <v>274.27</v>
          </cell>
          <cell r="E61" t="str">
            <v>3202160601010382230</v>
          </cell>
        </row>
        <row r="62">
          <cell r="A62" t="str">
            <v>00011656</v>
          </cell>
          <cell r="B62" t="str">
            <v>梁 利</v>
          </cell>
          <cell r="C62">
            <v>1430</v>
          </cell>
          <cell r="D62">
            <v>20.82</v>
          </cell>
          <cell r="E62" t="str">
            <v>3202160601010618284</v>
          </cell>
        </row>
        <row r="63">
          <cell r="A63" t="str">
            <v>00011657</v>
          </cell>
          <cell r="B63" t="str">
            <v>王 红</v>
          </cell>
          <cell r="C63">
            <v>1430</v>
          </cell>
          <cell r="D63">
            <v>22.1</v>
          </cell>
          <cell r="E63" t="str">
            <v>3202160601010636966</v>
          </cell>
        </row>
        <row r="64">
          <cell r="A64" t="str">
            <v>00007818</v>
          </cell>
          <cell r="B64" t="str">
            <v>李 奔</v>
          </cell>
          <cell r="C64">
            <v>1280</v>
          </cell>
          <cell r="D64">
            <v>8.93</v>
          </cell>
          <cell r="E64" t="str">
            <v>3202160601061673328</v>
          </cell>
        </row>
        <row r="65">
          <cell r="A65" t="str">
            <v>00011692</v>
          </cell>
          <cell r="B65" t="str">
            <v>槐文信</v>
          </cell>
          <cell r="C65">
            <v>4950</v>
          </cell>
          <cell r="D65">
            <v>682.78</v>
          </cell>
          <cell r="E65" t="str">
            <v>6222083202004622078</v>
          </cell>
        </row>
        <row r="66">
          <cell r="A66" t="str">
            <v>00011685</v>
          </cell>
          <cell r="B66" t="str">
            <v>黄社华</v>
          </cell>
          <cell r="C66">
            <v>3350</v>
          </cell>
          <cell r="D66">
            <v>277.01000000000005</v>
          </cell>
          <cell r="E66" t="str">
            <v>3202160601010423058</v>
          </cell>
        </row>
        <row r="67">
          <cell r="A67" t="str">
            <v>00011704</v>
          </cell>
          <cell r="B67" t="str">
            <v>陈大宏</v>
          </cell>
          <cell r="C67">
            <v>1900</v>
          </cell>
          <cell r="D67">
            <v>96.89</v>
          </cell>
          <cell r="E67" t="str">
            <v>3202160601010643492</v>
          </cell>
        </row>
        <row r="68">
          <cell r="A68" t="str">
            <v>00011686</v>
          </cell>
          <cell r="B68" t="str">
            <v>齐鄂荣</v>
          </cell>
          <cell r="C68">
            <v>2300</v>
          </cell>
          <cell r="D68">
            <v>145.45000000000002</v>
          </cell>
          <cell r="E68" t="str">
            <v>3202160601010426287</v>
          </cell>
        </row>
        <row r="69">
          <cell r="A69" t="str">
            <v>00011688</v>
          </cell>
          <cell r="B69" t="str">
            <v>赵 昕</v>
          </cell>
          <cell r="C69">
            <v>2300</v>
          </cell>
          <cell r="D69">
            <v>145.45000000000002</v>
          </cell>
          <cell r="E69" t="str">
            <v>3202160601010427189</v>
          </cell>
        </row>
        <row r="70">
          <cell r="A70" t="str">
            <v>00011693</v>
          </cell>
          <cell r="B70" t="str">
            <v>杨晓亭</v>
          </cell>
          <cell r="C70">
            <v>2300</v>
          </cell>
          <cell r="D70">
            <v>134.82000000000002</v>
          </cell>
          <cell r="E70" t="str">
            <v>3202160601010427065</v>
          </cell>
        </row>
        <row r="71">
          <cell r="A71" t="str">
            <v>00011699</v>
          </cell>
          <cell r="B71" t="str">
            <v>赵明登</v>
          </cell>
          <cell r="C71">
            <v>3350</v>
          </cell>
          <cell r="D71">
            <v>272.87</v>
          </cell>
          <cell r="E71" t="str">
            <v>3202160601010426961</v>
          </cell>
        </row>
        <row r="72">
          <cell r="A72" t="str">
            <v>00007283</v>
          </cell>
          <cell r="B72" t="str">
            <v>曾玉红</v>
          </cell>
          <cell r="C72">
            <v>1950</v>
          </cell>
          <cell r="D72">
            <v>44.66</v>
          </cell>
          <cell r="E72" t="str">
            <v>3202160601011057173</v>
          </cell>
        </row>
        <row r="73">
          <cell r="A73" t="str">
            <v>00007720</v>
          </cell>
          <cell r="B73" t="str">
            <v>杨中华</v>
          </cell>
          <cell r="C73">
            <v>1950</v>
          </cell>
          <cell r="D73">
            <v>44.06</v>
          </cell>
          <cell r="E73" t="str">
            <v>3202160601060876990</v>
          </cell>
        </row>
        <row r="74">
          <cell r="A74" t="str">
            <v>00009235</v>
          </cell>
          <cell r="B74" t="str">
            <v>李 丹</v>
          </cell>
          <cell r="C74">
            <v>1430</v>
          </cell>
          <cell r="D74">
            <v>14.93</v>
          </cell>
          <cell r="E74" t="str">
            <v>3202160601063515736</v>
          </cell>
        </row>
        <row r="75">
          <cell r="A75" t="str">
            <v>00011466</v>
          </cell>
          <cell r="B75" t="str">
            <v>刘士和</v>
          </cell>
          <cell r="C75">
            <v>4950</v>
          </cell>
          <cell r="D75">
            <v>692.45999999999992</v>
          </cell>
          <cell r="E75" t="str">
            <v>3202160601060288430</v>
          </cell>
        </row>
        <row r="76">
          <cell r="A76" t="str">
            <v>00011467</v>
          </cell>
          <cell r="B76" t="str">
            <v>陆 晶</v>
          </cell>
          <cell r="C76">
            <v>2100</v>
          </cell>
          <cell r="D76">
            <v>82.38</v>
          </cell>
          <cell r="E76" t="str">
            <v>3202160601010635940</v>
          </cell>
        </row>
        <row r="77">
          <cell r="A77" t="str">
            <v>00011672</v>
          </cell>
          <cell r="B77" t="str">
            <v>梅亚东</v>
          </cell>
          <cell r="C77">
            <v>5350</v>
          </cell>
          <cell r="D77">
            <v>691.05</v>
          </cell>
          <cell r="E77" t="str">
            <v>3202160601010468939</v>
          </cell>
        </row>
        <row r="78">
          <cell r="A78" t="str">
            <v>00008820</v>
          </cell>
          <cell r="B78" t="str">
            <v>董前进</v>
          </cell>
          <cell r="C78">
            <v>1950</v>
          </cell>
          <cell r="D78">
            <v>42.9</v>
          </cell>
          <cell r="E78" t="str">
            <v>3202160601063510703</v>
          </cell>
        </row>
        <row r="79">
          <cell r="A79" t="str">
            <v>00011673</v>
          </cell>
          <cell r="B79" t="str">
            <v>陈森林</v>
          </cell>
          <cell r="C79">
            <v>3350</v>
          </cell>
          <cell r="D79">
            <v>277.01000000000005</v>
          </cell>
          <cell r="E79" t="str">
            <v>6212883202000036177</v>
          </cell>
        </row>
        <row r="80">
          <cell r="A80" t="str">
            <v>00011677</v>
          </cell>
          <cell r="B80" t="str">
            <v>万 俊</v>
          </cell>
          <cell r="C80">
            <v>2300</v>
          </cell>
          <cell r="D80">
            <v>141.03</v>
          </cell>
          <cell r="E80" t="str">
            <v>3202160601010468788</v>
          </cell>
        </row>
        <row r="81">
          <cell r="A81" t="str">
            <v>00011671</v>
          </cell>
          <cell r="B81" t="str">
            <v>高似春</v>
          </cell>
          <cell r="C81">
            <v>2100</v>
          </cell>
          <cell r="D81">
            <v>105.74000000000001</v>
          </cell>
          <cell r="E81" t="str">
            <v>3202160601011314854</v>
          </cell>
        </row>
        <row r="82">
          <cell r="A82" t="str">
            <v>00011669</v>
          </cell>
          <cell r="B82" t="str">
            <v>付 湘</v>
          </cell>
          <cell r="C82">
            <v>3350</v>
          </cell>
          <cell r="D82">
            <v>258.73</v>
          </cell>
          <cell r="E82" t="str">
            <v>3202160601010705460</v>
          </cell>
        </row>
        <row r="83">
          <cell r="A83" t="str">
            <v>00011680</v>
          </cell>
          <cell r="B83" t="str">
            <v>艾学山</v>
          </cell>
          <cell r="C83">
            <v>1950</v>
          </cell>
          <cell r="D83">
            <v>0</v>
          </cell>
          <cell r="E83" t="str">
            <v>3202160601010649454</v>
          </cell>
        </row>
        <row r="84">
          <cell r="A84" t="str">
            <v>00011682</v>
          </cell>
          <cell r="B84" t="str">
            <v>马 勇</v>
          </cell>
          <cell r="C84">
            <v>1580</v>
          </cell>
          <cell r="D84">
            <v>29.38</v>
          </cell>
          <cell r="E84" t="str">
            <v>3202160601010862129</v>
          </cell>
        </row>
        <row r="85">
          <cell r="A85" t="str">
            <v>00011681</v>
          </cell>
          <cell r="B85" t="str">
            <v>万 飚</v>
          </cell>
          <cell r="C85">
            <v>1430</v>
          </cell>
          <cell r="D85">
            <v>18.36</v>
          </cell>
          <cell r="E85" t="str">
            <v>3202160601010861750</v>
          </cell>
        </row>
        <row r="86">
          <cell r="A86" t="str">
            <v>00011622</v>
          </cell>
          <cell r="B86" t="str">
            <v>宋星原</v>
          </cell>
          <cell r="C86">
            <v>4150</v>
          </cell>
          <cell r="D86">
            <v>485.59999999999997</v>
          </cell>
          <cell r="E86" t="str">
            <v>3202160601062355994</v>
          </cell>
        </row>
        <row r="87">
          <cell r="A87" t="str">
            <v>00030122</v>
          </cell>
          <cell r="B87" t="str">
            <v>张艳军</v>
          </cell>
          <cell r="C87">
            <v>1580</v>
          </cell>
          <cell r="D87">
            <v>20.49</v>
          </cell>
          <cell r="E87" t="str">
            <v>3202160601064830165</v>
          </cell>
        </row>
        <row r="88">
          <cell r="A88" t="str">
            <v>00010682</v>
          </cell>
          <cell r="B88" t="str">
            <v>郭生练</v>
          </cell>
          <cell r="C88">
            <v>4950</v>
          </cell>
          <cell r="D88">
            <v>43.5</v>
          </cell>
          <cell r="E88" t="str">
            <v>3202160601010428517</v>
          </cell>
        </row>
        <row r="89">
          <cell r="A89" t="str">
            <v>00011625</v>
          </cell>
          <cell r="B89" t="str">
            <v>李 兰</v>
          </cell>
          <cell r="C89">
            <v>4150</v>
          </cell>
          <cell r="D89">
            <v>477.1</v>
          </cell>
          <cell r="E89" t="str">
            <v>3202160601010621229</v>
          </cell>
        </row>
        <row r="90">
          <cell r="A90" t="str">
            <v>00011627</v>
          </cell>
          <cell r="B90" t="str">
            <v>谢 平</v>
          </cell>
          <cell r="C90">
            <v>3350</v>
          </cell>
          <cell r="D90">
            <v>279.09000000000003</v>
          </cell>
          <cell r="E90" t="str">
            <v>3202160601010428641</v>
          </cell>
        </row>
        <row r="91">
          <cell r="A91" t="str">
            <v>00011618</v>
          </cell>
          <cell r="B91" t="str">
            <v>熊立华</v>
          </cell>
          <cell r="C91">
            <v>9900</v>
          </cell>
          <cell r="D91">
            <v>1642.27</v>
          </cell>
          <cell r="E91" t="str">
            <v>3202160601010629642</v>
          </cell>
        </row>
        <row r="92">
          <cell r="A92" t="str">
            <v>00030237</v>
          </cell>
          <cell r="B92" t="str">
            <v>林 琳</v>
          </cell>
          <cell r="C92">
            <v>1950</v>
          </cell>
          <cell r="D92">
            <v>44.06</v>
          </cell>
          <cell r="E92" t="str">
            <v>6222083202001881461</v>
          </cell>
        </row>
        <row r="93">
          <cell r="A93" t="str">
            <v>00011632</v>
          </cell>
          <cell r="B93" t="str">
            <v>张 翔SL</v>
          </cell>
          <cell r="C93">
            <v>3350</v>
          </cell>
          <cell r="D93">
            <v>262.10000000000002</v>
          </cell>
          <cell r="E93" t="str">
            <v>3202160601010645447</v>
          </cell>
        </row>
        <row r="94">
          <cell r="A94" t="str">
            <v>00009667</v>
          </cell>
          <cell r="B94" t="str">
            <v>刘德地</v>
          </cell>
          <cell r="C94">
            <v>1950</v>
          </cell>
          <cell r="D94">
            <v>43.46</v>
          </cell>
          <cell r="E94" t="str">
            <v>6222023202023264756</v>
          </cell>
        </row>
        <row r="95">
          <cell r="A95" t="str">
            <v>00011630</v>
          </cell>
          <cell r="B95" t="str">
            <v>肖益民</v>
          </cell>
          <cell r="C95">
            <v>2100</v>
          </cell>
          <cell r="D95">
            <v>100.93</v>
          </cell>
          <cell r="E95" t="str">
            <v>3202160601010427863</v>
          </cell>
        </row>
        <row r="96">
          <cell r="A96" t="str">
            <v>00011631</v>
          </cell>
          <cell r="B96" t="str">
            <v>彭 虹</v>
          </cell>
          <cell r="C96">
            <v>2100</v>
          </cell>
          <cell r="D96">
            <v>88.99</v>
          </cell>
          <cell r="E96" t="str">
            <v>3202160601010641289</v>
          </cell>
        </row>
        <row r="97">
          <cell r="A97" t="str">
            <v>00011619</v>
          </cell>
          <cell r="B97" t="str">
            <v>夏 军</v>
          </cell>
          <cell r="C97">
            <v>7500</v>
          </cell>
          <cell r="D97">
            <v>1237.52</v>
          </cell>
          <cell r="E97" t="str">
            <v>3202160601065200215</v>
          </cell>
        </row>
        <row r="98">
          <cell r="A98" t="str">
            <v>00011617</v>
          </cell>
          <cell r="B98" t="str">
            <v>张利平</v>
          </cell>
          <cell r="C98">
            <v>3350</v>
          </cell>
          <cell r="D98">
            <v>254.22000000000003</v>
          </cell>
          <cell r="E98" t="str">
            <v>3202160601010638770</v>
          </cell>
        </row>
        <row r="99">
          <cell r="A99" t="str">
            <v>00008034</v>
          </cell>
          <cell r="B99" t="str">
            <v>刘 攀</v>
          </cell>
          <cell r="C99">
            <v>1950</v>
          </cell>
          <cell r="D99">
            <v>44.06</v>
          </cell>
          <cell r="E99" t="str">
            <v>3202160601062235197</v>
          </cell>
        </row>
        <row r="100">
          <cell r="A100" t="str">
            <v>00030234</v>
          </cell>
          <cell r="B100" t="str">
            <v>DavidRhe</v>
          </cell>
          <cell r="C100">
            <v>2000</v>
          </cell>
          <cell r="D100">
            <v>12.15</v>
          </cell>
          <cell r="E100" t="str">
            <v>6222023202043535896</v>
          </cell>
        </row>
        <row r="101">
          <cell r="A101" t="str">
            <v>00008417</v>
          </cell>
          <cell r="B101" t="str">
            <v>陈 华</v>
          </cell>
          <cell r="C101">
            <v>1950</v>
          </cell>
          <cell r="D101">
            <v>43.46</v>
          </cell>
          <cell r="E101" t="str">
            <v>3202160601063196362</v>
          </cell>
        </row>
        <row r="102">
          <cell r="A102" t="str">
            <v>00010188</v>
          </cell>
          <cell r="B102" t="str">
            <v>段亚辉</v>
          </cell>
          <cell r="C102">
            <v>4150</v>
          </cell>
          <cell r="D102">
            <v>467.99</v>
          </cell>
          <cell r="E102" t="str">
            <v>3202160601010436344</v>
          </cell>
        </row>
        <row r="103">
          <cell r="A103" t="str">
            <v>00011510</v>
          </cell>
          <cell r="B103" t="str">
            <v>陈胜宏</v>
          </cell>
          <cell r="C103">
            <v>4950</v>
          </cell>
          <cell r="D103">
            <v>699.86</v>
          </cell>
          <cell r="E103" t="str">
            <v>3202160601010436619</v>
          </cell>
        </row>
        <row r="104">
          <cell r="A104" t="str">
            <v>00009855</v>
          </cell>
          <cell r="B104" t="str">
            <v>何 吉</v>
          </cell>
          <cell r="C104">
            <v>1580</v>
          </cell>
          <cell r="D104">
            <v>15.16</v>
          </cell>
          <cell r="E104" t="str">
            <v>3202160601064738790</v>
          </cell>
        </row>
        <row r="105">
          <cell r="A105" t="str">
            <v>00012212</v>
          </cell>
          <cell r="B105" t="str">
            <v>常晓林</v>
          </cell>
          <cell r="C105">
            <v>7450</v>
          </cell>
          <cell r="D105">
            <v>1177.25</v>
          </cell>
          <cell r="E105" t="str">
            <v>3202160601010436867</v>
          </cell>
        </row>
        <row r="106">
          <cell r="A106" t="str">
            <v>00011506</v>
          </cell>
          <cell r="B106" t="str">
            <v>何蕴龙</v>
          </cell>
          <cell r="C106">
            <v>3350</v>
          </cell>
          <cell r="D106">
            <v>281.43</v>
          </cell>
          <cell r="E106" t="str">
            <v>3202160601010622929</v>
          </cell>
        </row>
        <row r="107">
          <cell r="A107" t="str">
            <v>00011501</v>
          </cell>
          <cell r="B107" t="str">
            <v>赖国伟</v>
          </cell>
          <cell r="C107">
            <v>3350</v>
          </cell>
          <cell r="D107">
            <v>281.43</v>
          </cell>
          <cell r="E107" t="str">
            <v>3202160601010437095</v>
          </cell>
        </row>
        <row r="108">
          <cell r="A108" t="str">
            <v>00011503</v>
          </cell>
          <cell r="B108" t="str">
            <v>佘成学</v>
          </cell>
          <cell r="C108">
            <v>3350</v>
          </cell>
          <cell r="D108">
            <v>274.94</v>
          </cell>
          <cell r="E108" t="str">
            <v>3202160601010436991</v>
          </cell>
        </row>
        <row r="109">
          <cell r="A109" t="str">
            <v>00011511</v>
          </cell>
          <cell r="B109" t="str">
            <v>王均星</v>
          </cell>
          <cell r="C109">
            <v>3350</v>
          </cell>
          <cell r="D109">
            <v>272.87</v>
          </cell>
          <cell r="E109" t="str">
            <v>3202160601010436743</v>
          </cell>
        </row>
        <row r="110">
          <cell r="A110" t="str">
            <v>00011500</v>
          </cell>
          <cell r="B110" t="str">
            <v>李 民</v>
          </cell>
          <cell r="C110">
            <v>2300</v>
          </cell>
          <cell r="D110">
            <v>134.82000000000002</v>
          </cell>
          <cell r="E110" t="str">
            <v>3202160601010437122</v>
          </cell>
        </row>
        <row r="111">
          <cell r="A111" t="str">
            <v>00011499</v>
          </cell>
          <cell r="B111" t="str">
            <v>何金平</v>
          </cell>
          <cell r="C111">
            <v>3350</v>
          </cell>
          <cell r="D111">
            <v>263.75</v>
          </cell>
          <cell r="E111" t="str">
            <v>3202160601010437246</v>
          </cell>
        </row>
        <row r="112">
          <cell r="A112" t="str">
            <v>00011505</v>
          </cell>
          <cell r="B112" t="str">
            <v>费文才</v>
          </cell>
          <cell r="C112">
            <v>2100</v>
          </cell>
          <cell r="D112">
            <v>98.93</v>
          </cell>
          <cell r="E112" t="str">
            <v>3202160601010437494</v>
          </cell>
        </row>
        <row r="113">
          <cell r="A113" t="str">
            <v>00011497</v>
          </cell>
          <cell r="B113" t="str">
            <v>徐明毅</v>
          </cell>
          <cell r="C113">
            <v>1950</v>
          </cell>
          <cell r="D113">
            <v>54.09</v>
          </cell>
          <cell r="E113" t="str">
            <v>3202160601061094020</v>
          </cell>
        </row>
        <row r="114">
          <cell r="A114" t="str">
            <v>00007816</v>
          </cell>
          <cell r="B114" t="str">
            <v>周 伟</v>
          </cell>
          <cell r="C114">
            <v>6200</v>
          </cell>
          <cell r="D114">
            <v>747.5</v>
          </cell>
          <cell r="E114" t="str">
            <v>3202160601061671896</v>
          </cell>
        </row>
        <row r="115">
          <cell r="A115" t="str">
            <v>00009654</v>
          </cell>
          <cell r="B115" t="str">
            <v>程勇刚</v>
          </cell>
          <cell r="C115">
            <v>1600</v>
          </cell>
          <cell r="D115">
            <v>15.76</v>
          </cell>
          <cell r="E115" t="str">
            <v>3202160601064713821</v>
          </cell>
        </row>
        <row r="116">
          <cell r="A116" t="str">
            <v>00011521</v>
          </cell>
          <cell r="B116" t="str">
            <v>舒大强</v>
          </cell>
          <cell r="C116">
            <v>4150</v>
          </cell>
          <cell r="D116">
            <v>456.76</v>
          </cell>
          <cell r="E116" t="str">
            <v>3202160601010441864</v>
          </cell>
        </row>
        <row r="117">
          <cell r="A117" t="str">
            <v>00011529</v>
          </cell>
          <cell r="B117" t="str">
            <v>胡志根</v>
          </cell>
          <cell r="C117">
            <v>4150</v>
          </cell>
          <cell r="D117">
            <v>451.05</v>
          </cell>
          <cell r="E117" t="str">
            <v>3202160601010440838</v>
          </cell>
        </row>
        <row r="118">
          <cell r="A118" t="str">
            <v>00011525</v>
          </cell>
          <cell r="B118" t="str">
            <v>卢文波</v>
          </cell>
          <cell r="C118">
            <v>9900</v>
          </cell>
          <cell r="D118">
            <v>1741.8200000000002</v>
          </cell>
          <cell r="E118" t="str">
            <v>6222083202001647870</v>
          </cell>
        </row>
        <row r="119">
          <cell r="A119" t="str">
            <v>00009823</v>
          </cell>
          <cell r="B119" t="str">
            <v>严 鹏</v>
          </cell>
          <cell r="C119">
            <v>1950</v>
          </cell>
          <cell r="D119">
            <v>43.46</v>
          </cell>
          <cell r="E119" t="str">
            <v>3202160601064783837</v>
          </cell>
        </row>
        <row r="120">
          <cell r="A120" t="str">
            <v>00011518</v>
          </cell>
          <cell r="B120" t="str">
            <v>朱传云</v>
          </cell>
          <cell r="C120">
            <v>2300</v>
          </cell>
          <cell r="D120">
            <v>152.43</v>
          </cell>
          <cell r="E120" t="str">
            <v>3202160601010441589</v>
          </cell>
        </row>
        <row r="121">
          <cell r="A121" t="str">
            <v>00011522</v>
          </cell>
          <cell r="B121" t="str">
            <v>申明亮</v>
          </cell>
          <cell r="C121">
            <v>2300</v>
          </cell>
          <cell r="D121">
            <v>136.88999999999999</v>
          </cell>
          <cell r="E121" t="str">
            <v>3202160601010626537</v>
          </cell>
        </row>
        <row r="122">
          <cell r="A122" t="str">
            <v>00011523</v>
          </cell>
          <cell r="B122" t="str">
            <v>吴益明</v>
          </cell>
          <cell r="C122">
            <v>2100</v>
          </cell>
          <cell r="D122">
            <v>98.93</v>
          </cell>
          <cell r="E122" t="str">
            <v>6222023202050056679</v>
          </cell>
        </row>
        <row r="123">
          <cell r="A123" t="str">
            <v>00011517</v>
          </cell>
          <cell r="B123" t="str">
            <v>贺昌海</v>
          </cell>
          <cell r="C123">
            <v>3350</v>
          </cell>
          <cell r="D123">
            <v>263.75</v>
          </cell>
          <cell r="E123" t="str">
            <v>3202160601010442243</v>
          </cell>
        </row>
        <row r="124">
          <cell r="A124" t="str">
            <v>00011527</v>
          </cell>
          <cell r="B124" t="str">
            <v>杨 磊</v>
          </cell>
          <cell r="C124">
            <v>1950</v>
          </cell>
          <cell r="D124">
            <v>47.87</v>
          </cell>
          <cell r="E124" t="str">
            <v>3202160601010616108</v>
          </cell>
        </row>
        <row r="125">
          <cell r="A125" t="str">
            <v>00011515</v>
          </cell>
          <cell r="B125" t="str">
            <v>肖 宜</v>
          </cell>
          <cell r="C125">
            <v>1950</v>
          </cell>
          <cell r="D125">
            <v>49.87</v>
          </cell>
          <cell r="E125" t="str">
            <v>3202160601010704833</v>
          </cell>
        </row>
        <row r="126">
          <cell r="A126" t="str">
            <v>00007681</v>
          </cell>
          <cell r="B126" t="str">
            <v>刘 全</v>
          </cell>
          <cell r="C126">
            <v>1950</v>
          </cell>
          <cell r="D126">
            <v>0</v>
          </cell>
          <cell r="E126" t="str">
            <v>3202160601060798845</v>
          </cell>
        </row>
        <row r="127">
          <cell r="A127" t="str">
            <v>00007815</v>
          </cell>
          <cell r="B127" t="str">
            <v>曹生荣</v>
          </cell>
          <cell r="C127">
            <v>1950</v>
          </cell>
          <cell r="D127">
            <v>44.06</v>
          </cell>
          <cell r="E127" t="str">
            <v>3202160601061671923</v>
          </cell>
        </row>
        <row r="128">
          <cell r="A128" t="str">
            <v>00008415</v>
          </cell>
          <cell r="B128" t="str">
            <v>陈 明</v>
          </cell>
          <cell r="C128">
            <v>1950</v>
          </cell>
          <cell r="D128">
            <v>43.46</v>
          </cell>
          <cell r="E128" t="str">
            <v>3202160601063196114</v>
          </cell>
        </row>
        <row r="129">
          <cell r="A129" t="str">
            <v>00011435</v>
          </cell>
          <cell r="B129" t="str">
            <v>杨建东</v>
          </cell>
          <cell r="C129">
            <v>4950</v>
          </cell>
          <cell r="D129">
            <v>696.11</v>
          </cell>
          <cell r="E129" t="str">
            <v>3202160601010438946</v>
          </cell>
        </row>
        <row r="130">
          <cell r="A130" t="str">
            <v>00011436</v>
          </cell>
          <cell r="B130" t="str">
            <v>肖 明SD</v>
          </cell>
          <cell r="C130">
            <v>4950</v>
          </cell>
          <cell r="D130">
            <v>688.49</v>
          </cell>
          <cell r="E130" t="str">
            <v>3202160601010438795</v>
          </cell>
        </row>
        <row r="131">
          <cell r="A131" t="str">
            <v>00011434</v>
          </cell>
          <cell r="B131" t="str">
            <v>伍鹤皋</v>
          </cell>
          <cell r="C131">
            <v>4150</v>
          </cell>
          <cell r="D131">
            <v>451.05</v>
          </cell>
          <cell r="E131" t="str">
            <v>3202160601010438822</v>
          </cell>
        </row>
        <row r="132">
          <cell r="A132" t="str">
            <v>00030340</v>
          </cell>
          <cell r="B132" t="str">
            <v>石长征</v>
          </cell>
          <cell r="C132">
            <v>1600</v>
          </cell>
          <cell r="D132">
            <v>39.75</v>
          </cell>
          <cell r="E132" t="str">
            <v>6222023202047054126</v>
          </cell>
        </row>
        <row r="133">
          <cell r="A133" t="str">
            <v>00011437</v>
          </cell>
          <cell r="B133" t="str">
            <v>赖 旭</v>
          </cell>
          <cell r="C133">
            <v>3350</v>
          </cell>
          <cell r="D133">
            <v>272.87</v>
          </cell>
          <cell r="E133" t="str">
            <v>3202160601010439325</v>
          </cell>
        </row>
        <row r="134">
          <cell r="A134" t="str">
            <v>00011433</v>
          </cell>
          <cell r="B134" t="str">
            <v>雷 艳</v>
          </cell>
          <cell r="C134">
            <v>2100</v>
          </cell>
          <cell r="D134">
            <v>100.93</v>
          </cell>
          <cell r="E134" t="str">
            <v>3202160601010439201</v>
          </cell>
        </row>
        <row r="135">
          <cell r="A135" t="str">
            <v>00011438</v>
          </cell>
          <cell r="B135" t="str">
            <v>程永光</v>
          </cell>
          <cell r="C135">
            <v>3350</v>
          </cell>
          <cell r="D135">
            <v>260.44</v>
          </cell>
          <cell r="E135" t="str">
            <v>3202160601010439449</v>
          </cell>
        </row>
        <row r="136">
          <cell r="A136" t="str">
            <v>00011441</v>
          </cell>
          <cell r="B136" t="str">
            <v>李进平</v>
          </cell>
          <cell r="C136">
            <v>1950</v>
          </cell>
          <cell r="D136">
            <v>45.8</v>
          </cell>
          <cell r="E136" t="str">
            <v>3202160601010861874</v>
          </cell>
        </row>
        <row r="137">
          <cell r="A137" t="str">
            <v>00008288</v>
          </cell>
          <cell r="B137" t="str">
            <v>陈俊涛</v>
          </cell>
          <cell r="C137">
            <v>1430</v>
          </cell>
          <cell r="D137">
            <v>17.149999999999999</v>
          </cell>
          <cell r="E137" t="str">
            <v>3202160601062327433</v>
          </cell>
        </row>
        <row r="138">
          <cell r="A138" t="str">
            <v>00008416</v>
          </cell>
          <cell r="B138" t="str">
            <v>苏 凯</v>
          </cell>
          <cell r="C138">
            <v>1950</v>
          </cell>
          <cell r="D138">
            <v>43.46</v>
          </cell>
          <cell r="E138" t="str">
            <v>3202160601063211966</v>
          </cell>
        </row>
        <row r="139">
          <cell r="A139" t="str">
            <v>00011489</v>
          </cell>
          <cell r="B139" t="str">
            <v>何 真</v>
          </cell>
          <cell r="C139">
            <v>3350</v>
          </cell>
          <cell r="D139">
            <v>278.41000000000003</v>
          </cell>
          <cell r="E139" t="str">
            <v>3202160601010444446</v>
          </cell>
        </row>
        <row r="140">
          <cell r="A140" t="str">
            <v>00030451</v>
          </cell>
          <cell r="B140" t="str">
            <v>蔡新华</v>
          </cell>
          <cell r="C140">
            <v>1580</v>
          </cell>
          <cell r="D140">
            <v>15.16</v>
          </cell>
          <cell r="E140" t="str">
            <v>6222023202047636286</v>
          </cell>
        </row>
        <row r="141">
          <cell r="A141" t="str">
            <v>00010189</v>
          </cell>
          <cell r="B141" t="str">
            <v>梁文泉</v>
          </cell>
          <cell r="C141">
            <v>2300</v>
          </cell>
          <cell r="D141">
            <v>136.88999999999999</v>
          </cell>
          <cell r="E141" t="str">
            <v>3202160601010632560</v>
          </cell>
        </row>
        <row r="142">
          <cell r="A142" t="str">
            <v>00011485</v>
          </cell>
          <cell r="B142" t="str">
            <v>曾 力</v>
          </cell>
          <cell r="C142">
            <v>2300</v>
          </cell>
          <cell r="D142">
            <v>133.01</v>
          </cell>
          <cell r="E142" t="str">
            <v>3202160601010444721</v>
          </cell>
        </row>
        <row r="143">
          <cell r="A143" t="str">
            <v>00011486</v>
          </cell>
          <cell r="B143" t="str">
            <v>吴定燕</v>
          </cell>
          <cell r="C143">
            <v>2100</v>
          </cell>
          <cell r="D143">
            <v>98.36</v>
          </cell>
          <cell r="E143" t="str">
            <v>3202160601010444570</v>
          </cell>
        </row>
        <row r="144">
          <cell r="A144" t="str">
            <v>00008898</v>
          </cell>
          <cell r="B144" t="str">
            <v>刘数华</v>
          </cell>
          <cell r="C144">
            <v>1950</v>
          </cell>
          <cell r="D144">
            <v>44.62</v>
          </cell>
          <cell r="E144" t="str">
            <v>3202160601063676385</v>
          </cell>
        </row>
        <row r="145">
          <cell r="A145" t="str">
            <v>00011491</v>
          </cell>
          <cell r="B145" t="str">
            <v>阮 燕</v>
          </cell>
          <cell r="C145">
            <v>2100</v>
          </cell>
          <cell r="D145">
            <v>86.82</v>
          </cell>
          <cell r="E145" t="str">
            <v>3202160601010444845</v>
          </cell>
        </row>
        <row r="146">
          <cell r="A146" t="str">
            <v>00011478</v>
          </cell>
          <cell r="B146" t="str">
            <v>徐 晖</v>
          </cell>
          <cell r="C146">
            <v>2300</v>
          </cell>
          <cell r="D146">
            <v>143.10000000000002</v>
          </cell>
          <cell r="E146" t="str">
            <v>3202160601010443819</v>
          </cell>
        </row>
        <row r="147">
          <cell r="A147" t="str">
            <v>00011475</v>
          </cell>
          <cell r="B147" t="str">
            <v>苏 欣</v>
          </cell>
          <cell r="C147">
            <v>2300</v>
          </cell>
          <cell r="D147">
            <v>143.10000000000002</v>
          </cell>
          <cell r="E147" t="str">
            <v>3202160601010443668</v>
          </cell>
        </row>
        <row r="148">
          <cell r="A148" t="str">
            <v>00011477</v>
          </cell>
          <cell r="B148" t="str">
            <v>邓念武</v>
          </cell>
          <cell r="C148">
            <v>2100</v>
          </cell>
          <cell r="D148">
            <v>89.26</v>
          </cell>
          <cell r="E148" t="str">
            <v>3202160601010443943</v>
          </cell>
        </row>
        <row r="149">
          <cell r="A149" t="str">
            <v>00007612</v>
          </cell>
          <cell r="B149" t="str">
            <v>张晓春</v>
          </cell>
          <cell r="C149">
            <v>1280</v>
          </cell>
          <cell r="D149">
            <v>9.5299999999999994</v>
          </cell>
          <cell r="E149" t="str">
            <v>3202160601060752186</v>
          </cell>
        </row>
        <row r="150">
          <cell r="A150" t="str">
            <v>00008036</v>
          </cell>
          <cell r="B150" t="str">
            <v>金银龙</v>
          </cell>
          <cell r="C150">
            <v>1280</v>
          </cell>
          <cell r="D150">
            <v>8.93</v>
          </cell>
          <cell r="E150" t="str">
            <v>3202160601062234969</v>
          </cell>
        </row>
        <row r="151">
          <cell r="A151" t="str">
            <v>00011180</v>
          </cell>
          <cell r="B151" t="str">
            <v>周创兵</v>
          </cell>
          <cell r="C151">
            <v>2000</v>
          </cell>
          <cell r="D151">
            <v>194.75</v>
          </cell>
          <cell r="E151" t="str">
            <v>3202160601010440315</v>
          </cell>
        </row>
        <row r="152">
          <cell r="A152" t="str">
            <v>00011482</v>
          </cell>
          <cell r="B152" t="str">
            <v>杨连生</v>
          </cell>
          <cell r="C152">
            <v>2300</v>
          </cell>
          <cell r="D152">
            <v>143.10000000000002</v>
          </cell>
          <cell r="E152" t="str">
            <v>3202160601010439972</v>
          </cell>
        </row>
        <row r="153">
          <cell r="A153" t="str">
            <v>00011480</v>
          </cell>
          <cell r="B153" t="str">
            <v>荣 冠</v>
          </cell>
          <cell r="C153">
            <v>1950</v>
          </cell>
          <cell r="D153">
            <v>0</v>
          </cell>
          <cell r="E153" t="str">
            <v>3202160601010440439</v>
          </cell>
        </row>
        <row r="154">
          <cell r="A154" t="str">
            <v>00011481</v>
          </cell>
          <cell r="B154" t="str">
            <v>王 涛SD</v>
          </cell>
          <cell r="C154">
            <v>1950</v>
          </cell>
          <cell r="D154">
            <v>47.87</v>
          </cell>
          <cell r="E154" t="str">
            <v>3202160601010619337</v>
          </cell>
        </row>
        <row r="155">
          <cell r="A155" t="str">
            <v>00007813</v>
          </cell>
          <cell r="B155" t="str">
            <v>陈益峰</v>
          </cell>
          <cell r="C155" t="e">
            <v>#N/A</v>
          </cell>
          <cell r="D155" t="e">
            <v>#N/A</v>
          </cell>
          <cell r="E155" t="e">
            <v>#N/A</v>
          </cell>
        </row>
        <row r="156">
          <cell r="A156" t="str">
            <v>00009934</v>
          </cell>
          <cell r="B156" t="str">
            <v>徐维生</v>
          </cell>
          <cell r="C156">
            <v>1600</v>
          </cell>
          <cell r="D156">
            <v>39.15</v>
          </cell>
          <cell r="E156" t="str">
            <v>6222023202032991647</v>
          </cell>
        </row>
        <row r="157">
          <cell r="A157" t="str">
            <v>00011600</v>
          </cell>
          <cell r="B157" t="str">
            <v>王富庆</v>
          </cell>
          <cell r="C157">
            <v>2300</v>
          </cell>
          <cell r="D157">
            <v>138.96</v>
          </cell>
          <cell r="E157" t="str">
            <v>3202160601010414604</v>
          </cell>
        </row>
        <row r="158">
          <cell r="A158" t="str">
            <v>00011595</v>
          </cell>
          <cell r="B158" t="str">
            <v>唐友生</v>
          </cell>
          <cell r="C158">
            <v>1100</v>
          </cell>
          <cell r="D158">
            <v>3.65</v>
          </cell>
          <cell r="E158" t="str">
            <v>3202160601010903631</v>
          </cell>
        </row>
        <row r="159">
          <cell r="A159" t="str">
            <v>00011597</v>
          </cell>
          <cell r="B159" t="str">
            <v>穆秀英</v>
          </cell>
          <cell r="C159">
            <v>1050</v>
          </cell>
          <cell r="D159">
            <v>2.38</v>
          </cell>
          <cell r="E159" t="str">
            <v>3202160601010652124</v>
          </cell>
        </row>
        <row r="160">
          <cell r="A160" t="str">
            <v>00011596</v>
          </cell>
          <cell r="B160" t="str">
            <v>覃奇志</v>
          </cell>
          <cell r="C160">
            <v>1050</v>
          </cell>
          <cell r="D160">
            <v>0</v>
          </cell>
          <cell r="E160" t="str">
            <v>3202160601010413028</v>
          </cell>
        </row>
        <row r="161">
          <cell r="A161" t="str">
            <v>00010485</v>
          </cell>
          <cell r="B161" t="str">
            <v>韩向远</v>
          </cell>
          <cell r="C161">
            <v>1430</v>
          </cell>
          <cell r="D161">
            <v>24.93</v>
          </cell>
          <cell r="E161" t="str">
            <v>6222083202003675697</v>
          </cell>
        </row>
        <row r="162">
          <cell r="A162" t="str">
            <v>00009682</v>
          </cell>
          <cell r="B162" t="str">
            <v>王志远</v>
          </cell>
          <cell r="C162">
            <v>1200</v>
          </cell>
          <cell r="D162">
            <v>0</v>
          </cell>
          <cell r="E162" t="str">
            <v>6222023202023262818</v>
          </cell>
        </row>
        <row r="163">
          <cell r="A163" t="str">
            <v>00011562</v>
          </cell>
          <cell r="B163" t="str">
            <v>黄汉生</v>
          </cell>
          <cell r="C163">
            <v>2100</v>
          </cell>
          <cell r="D163">
            <v>84.82</v>
          </cell>
          <cell r="E163" t="str">
            <v>3202160601010417035</v>
          </cell>
        </row>
        <row r="164">
          <cell r="A164" t="str">
            <v>00011645</v>
          </cell>
          <cell r="B164" t="str">
            <v>李旺兴</v>
          </cell>
          <cell r="C164">
            <v>2100</v>
          </cell>
          <cell r="D164">
            <v>93.99</v>
          </cell>
          <cell r="E164" t="str">
            <v>3202160601010423856</v>
          </cell>
        </row>
        <row r="165">
          <cell r="A165" t="str">
            <v>00011652</v>
          </cell>
          <cell r="B165" t="str">
            <v>王 丹</v>
          </cell>
          <cell r="C165">
            <v>1580</v>
          </cell>
          <cell r="D165">
            <v>30.64</v>
          </cell>
          <cell r="E165" t="str">
            <v>3202160601010642218</v>
          </cell>
        </row>
        <row r="166">
          <cell r="A166" t="str">
            <v>00011643</v>
          </cell>
          <cell r="B166" t="str">
            <v>李白鸣</v>
          </cell>
          <cell r="C166">
            <v>1580</v>
          </cell>
          <cell r="D166">
            <v>34.5</v>
          </cell>
          <cell r="E166" t="str">
            <v>3202160601060040267</v>
          </cell>
        </row>
        <row r="167">
          <cell r="A167" t="str">
            <v>00011634</v>
          </cell>
          <cell r="B167" t="str">
            <v>姚小明</v>
          </cell>
          <cell r="C167">
            <v>1580</v>
          </cell>
          <cell r="D167">
            <v>32.17</v>
          </cell>
          <cell r="E167" t="str">
            <v>3202160601011267852</v>
          </cell>
        </row>
        <row r="168">
          <cell r="A168" t="str">
            <v>00011689</v>
          </cell>
          <cell r="B168" t="str">
            <v>王京辉</v>
          </cell>
          <cell r="C168">
            <v>1580</v>
          </cell>
          <cell r="D168">
            <v>29.3</v>
          </cell>
          <cell r="E168" t="str">
            <v>3202160601010753337</v>
          </cell>
        </row>
        <row r="169">
          <cell r="A169" t="str">
            <v>00011683</v>
          </cell>
          <cell r="B169" t="str">
            <v>李 琼</v>
          </cell>
          <cell r="C169">
            <v>1950</v>
          </cell>
          <cell r="D169">
            <v>72.069999999999993</v>
          </cell>
          <cell r="E169" t="str">
            <v>3202160601010378011</v>
          </cell>
        </row>
        <row r="170">
          <cell r="A170" t="str">
            <v>00007375</v>
          </cell>
          <cell r="B170" t="str">
            <v>李曰辰</v>
          </cell>
          <cell r="C170">
            <v>1430</v>
          </cell>
          <cell r="D170">
            <v>19.600000000000001</v>
          </cell>
          <cell r="E170" t="str">
            <v>3202160601011291910</v>
          </cell>
        </row>
        <row r="171">
          <cell r="A171" t="str">
            <v>00030275</v>
          </cell>
          <cell r="B171" t="str">
            <v>陈 欢</v>
          </cell>
          <cell r="C171">
            <v>1700</v>
          </cell>
          <cell r="D171">
            <v>5.16</v>
          </cell>
          <cell r="E171" t="str">
            <v>6222083202004207581</v>
          </cell>
        </row>
        <row r="172">
          <cell r="A172" t="str">
            <v>00011695</v>
          </cell>
          <cell r="B172" t="str">
            <v>杨万红</v>
          </cell>
          <cell r="C172">
            <v>1050</v>
          </cell>
          <cell r="D172">
            <v>1.82</v>
          </cell>
          <cell r="E172" t="str">
            <v>3202160601010427216</v>
          </cell>
        </row>
        <row r="173">
          <cell r="A173" t="str">
            <v>00011702</v>
          </cell>
          <cell r="B173" t="str">
            <v>陈隆斌</v>
          </cell>
          <cell r="C173">
            <v>540</v>
          </cell>
          <cell r="D173">
            <v>0</v>
          </cell>
          <cell r="E173" t="str">
            <v>3202160601010426837</v>
          </cell>
        </row>
        <row r="174">
          <cell r="A174" t="str">
            <v>00011697</v>
          </cell>
          <cell r="B174" t="str">
            <v>吕一红</v>
          </cell>
          <cell r="C174">
            <v>660</v>
          </cell>
          <cell r="D174">
            <v>0</v>
          </cell>
          <cell r="E174" t="str">
            <v>3202160601010426713</v>
          </cell>
        </row>
        <row r="175">
          <cell r="A175" t="str">
            <v>00011629</v>
          </cell>
          <cell r="B175" t="str">
            <v>许建明</v>
          </cell>
          <cell r="C175">
            <v>1430</v>
          </cell>
          <cell r="D175">
            <v>23.51</v>
          </cell>
          <cell r="E175" t="str">
            <v>3202160601010428366</v>
          </cell>
        </row>
        <row r="176">
          <cell r="A176" t="str">
            <v>00009739</v>
          </cell>
          <cell r="B176" t="str">
            <v>潘国艳</v>
          </cell>
          <cell r="C176">
            <v>1600</v>
          </cell>
          <cell r="D176">
            <v>8.59</v>
          </cell>
          <cell r="E176" t="str">
            <v>3202160601064691229</v>
          </cell>
        </row>
        <row r="177">
          <cell r="A177" t="str">
            <v>00011432</v>
          </cell>
          <cell r="B177" t="str">
            <v>楚湘林</v>
          </cell>
          <cell r="C177">
            <v>1430</v>
          </cell>
          <cell r="D177">
            <v>27.18</v>
          </cell>
          <cell r="E177" t="str">
            <v>3202160601010800986</v>
          </cell>
        </row>
        <row r="178">
          <cell r="A178" t="str">
            <v>00011560</v>
          </cell>
          <cell r="B178" t="str">
            <v>吴长胜</v>
          </cell>
          <cell r="C178">
            <v>1580</v>
          </cell>
          <cell r="D178">
            <v>32.17</v>
          </cell>
          <cell r="E178" t="str">
            <v>3202160601010467514</v>
          </cell>
        </row>
        <row r="179">
          <cell r="A179" t="str">
            <v>00011561</v>
          </cell>
          <cell r="B179" t="str">
            <v>王学武</v>
          </cell>
          <cell r="C179">
            <v>1580</v>
          </cell>
          <cell r="D179">
            <v>28.7</v>
          </cell>
          <cell r="E179" t="str">
            <v>3202160601010469318</v>
          </cell>
        </row>
        <row r="180">
          <cell r="A180" t="str">
            <v>00030390</v>
          </cell>
          <cell r="B180" t="str">
            <v>李 玲</v>
          </cell>
          <cell r="C180">
            <v>1600</v>
          </cell>
          <cell r="D180">
            <v>39.75</v>
          </cell>
          <cell r="E180" t="str">
            <v>6222023202047636344</v>
          </cell>
        </row>
        <row r="181">
          <cell r="A181" t="str">
            <v>00011502</v>
          </cell>
          <cell r="B181" t="str">
            <v>李桂荣</v>
          </cell>
          <cell r="C181">
            <v>2300</v>
          </cell>
          <cell r="D181">
            <v>138.29</v>
          </cell>
          <cell r="E181" t="str">
            <v>3202160601010436220</v>
          </cell>
        </row>
        <row r="182">
          <cell r="A182" t="str">
            <v>00011459</v>
          </cell>
          <cell r="B182" t="str">
            <v>刘永和</v>
          </cell>
          <cell r="C182">
            <v>1580</v>
          </cell>
          <cell r="D182">
            <v>31.46</v>
          </cell>
          <cell r="E182" t="str">
            <v>3202160601010381053</v>
          </cell>
        </row>
        <row r="183">
          <cell r="A183" t="str">
            <v>00011608</v>
          </cell>
          <cell r="B183" t="str">
            <v>赵荣安</v>
          </cell>
          <cell r="C183">
            <v>1430</v>
          </cell>
          <cell r="D183">
            <v>25.64</v>
          </cell>
          <cell r="E183" t="str">
            <v>3202160601010417159</v>
          </cell>
        </row>
        <row r="184">
          <cell r="A184" t="str">
            <v>00008921</v>
          </cell>
          <cell r="B184" t="str">
            <v>徐 青</v>
          </cell>
          <cell r="C184">
            <v>2100</v>
          </cell>
          <cell r="D184">
            <v>93.63</v>
          </cell>
          <cell r="E184" t="str">
            <v>3202160601063754309</v>
          </cell>
        </row>
        <row r="185">
          <cell r="A185" t="str">
            <v>00011519</v>
          </cell>
          <cell r="B185" t="str">
            <v>周力平</v>
          </cell>
          <cell r="C185">
            <v>2100</v>
          </cell>
          <cell r="D185">
            <v>108.49000000000001</v>
          </cell>
          <cell r="E185" t="str">
            <v>3202160601010441616</v>
          </cell>
        </row>
        <row r="186">
          <cell r="A186" t="str">
            <v>00011508</v>
          </cell>
          <cell r="B186" t="str">
            <v>雷川华</v>
          </cell>
          <cell r="C186">
            <v>1580</v>
          </cell>
          <cell r="D186">
            <v>30.04</v>
          </cell>
          <cell r="E186" t="str">
            <v>3202160601010436592</v>
          </cell>
        </row>
        <row r="187">
          <cell r="A187" t="str">
            <v>00011463</v>
          </cell>
          <cell r="B187" t="str">
            <v>陈天祥</v>
          </cell>
          <cell r="C187">
            <v>1050</v>
          </cell>
          <cell r="D187">
            <v>5.86</v>
          </cell>
          <cell r="E187" t="str">
            <v>3202160601011269780</v>
          </cell>
        </row>
        <row r="188">
          <cell r="A188" t="str">
            <v>00011458</v>
          </cell>
          <cell r="B188" t="str">
            <v>曹克桥</v>
          </cell>
          <cell r="C188">
            <v>1250</v>
          </cell>
          <cell r="D188">
            <v>16.920000000000002</v>
          </cell>
          <cell r="E188" t="str">
            <v>3202160601010380275</v>
          </cell>
        </row>
        <row r="189">
          <cell r="A189" t="str">
            <v>00011442</v>
          </cell>
          <cell r="B189" t="str">
            <v>袁汉芳</v>
          </cell>
          <cell r="C189">
            <v>1050</v>
          </cell>
          <cell r="D189">
            <v>0.16</v>
          </cell>
          <cell r="E189" t="str">
            <v>3202160601010439174</v>
          </cell>
        </row>
        <row r="190">
          <cell r="A190" t="str">
            <v>00011492</v>
          </cell>
          <cell r="B190" t="str">
            <v>涂胜金</v>
          </cell>
          <cell r="C190">
            <v>2300</v>
          </cell>
          <cell r="D190">
            <v>143.10000000000002</v>
          </cell>
          <cell r="E190" t="str">
            <v>3202160601010431683</v>
          </cell>
        </row>
        <row r="191">
          <cell r="A191" t="str">
            <v>00011490</v>
          </cell>
          <cell r="B191" t="str">
            <v>何正勇</v>
          </cell>
          <cell r="C191">
            <v>1580</v>
          </cell>
          <cell r="D191">
            <v>28.05</v>
          </cell>
          <cell r="E191" t="str">
            <v>3202160601010643891</v>
          </cell>
        </row>
        <row r="192">
          <cell r="A192" t="str">
            <v>00008498</v>
          </cell>
          <cell r="B192" t="str">
            <v>杨华山</v>
          </cell>
          <cell r="C192">
            <v>1430</v>
          </cell>
          <cell r="D192">
            <v>17.739999999999998</v>
          </cell>
          <cell r="E192" t="str">
            <v>3202160601063197814</v>
          </cell>
        </row>
        <row r="193">
          <cell r="A193" t="str">
            <v>00011476</v>
          </cell>
          <cell r="B193" t="str">
            <v>刘玉新</v>
          </cell>
          <cell r="C193">
            <v>1580</v>
          </cell>
          <cell r="D193">
            <v>29.38</v>
          </cell>
          <cell r="E193" t="str">
            <v>3202160601010443792</v>
          </cell>
        </row>
        <row r="194">
          <cell r="A194" t="str">
            <v>00011479</v>
          </cell>
          <cell r="B194" t="str">
            <v>李宏明</v>
          </cell>
          <cell r="C194">
            <v>1430</v>
          </cell>
          <cell r="D194">
            <v>21.5</v>
          </cell>
          <cell r="E194" t="str">
            <v>3202160601010439050</v>
          </cell>
        </row>
        <row r="195">
          <cell r="A195" t="str">
            <v>00011443</v>
          </cell>
          <cell r="B195" t="str">
            <v>曾令刚</v>
          </cell>
          <cell r="C195">
            <v>1580</v>
          </cell>
          <cell r="D195">
            <v>34.5</v>
          </cell>
          <cell r="E195" t="str">
            <v>3202160601010498781</v>
          </cell>
        </row>
        <row r="196">
          <cell r="A196" t="str">
            <v>00011464</v>
          </cell>
          <cell r="B196" t="str">
            <v>魏国强</v>
          </cell>
          <cell r="C196">
            <v>1580</v>
          </cell>
          <cell r="D196">
            <v>35.39</v>
          </cell>
          <cell r="E196" t="str">
            <v>3202160601010378410</v>
          </cell>
        </row>
        <row r="197">
          <cell r="A197" t="str">
            <v>00011616</v>
          </cell>
          <cell r="B197" t="str">
            <v>狄 鸿</v>
          </cell>
          <cell r="C197">
            <v>1430</v>
          </cell>
          <cell r="D197">
            <v>20.2</v>
          </cell>
          <cell r="E197" t="str">
            <v>3202160601010378933</v>
          </cell>
        </row>
        <row r="198">
          <cell r="A198" t="str">
            <v>00011667</v>
          </cell>
          <cell r="B198" t="str">
            <v>钱小玉</v>
          </cell>
          <cell r="C198">
            <v>1430</v>
          </cell>
          <cell r="D198">
            <v>24.11</v>
          </cell>
          <cell r="E198" t="str">
            <v>3202160601010646349</v>
          </cell>
        </row>
        <row r="199">
          <cell r="A199" t="str">
            <v>00011563</v>
          </cell>
          <cell r="B199" t="str">
            <v>李 莫</v>
          </cell>
          <cell r="C199">
            <v>1430</v>
          </cell>
          <cell r="D199">
            <v>22.1</v>
          </cell>
          <cell r="E199" t="str">
            <v>3202160601010652248</v>
          </cell>
        </row>
        <row r="200">
          <cell r="A200" t="str">
            <v>00011469</v>
          </cell>
          <cell r="B200" t="str">
            <v>朱铁容</v>
          </cell>
          <cell r="C200">
            <v>1280</v>
          </cell>
          <cell r="D200">
            <v>18.27</v>
          </cell>
          <cell r="E200" t="str">
            <v>3202160601010742254</v>
          </cell>
        </row>
        <row r="201">
          <cell r="A201" t="str">
            <v>00011639</v>
          </cell>
          <cell r="B201" t="str">
            <v>雒 征</v>
          </cell>
          <cell r="C201">
            <v>1580</v>
          </cell>
          <cell r="D201">
            <v>30.64</v>
          </cell>
          <cell r="E201" t="str">
            <v>3202160601010424510</v>
          </cell>
        </row>
        <row r="202">
          <cell r="A202" t="str">
            <v>00007370</v>
          </cell>
          <cell r="B202" t="str">
            <v>冯晓黎</v>
          </cell>
          <cell r="C202">
            <v>1280</v>
          </cell>
          <cell r="D202">
            <v>10.63</v>
          </cell>
          <cell r="E202" t="str">
            <v>3202160601011286762</v>
          </cell>
        </row>
        <row r="203">
          <cell r="A203" t="str">
            <v>00030305</v>
          </cell>
          <cell r="B203" t="str">
            <v>吴 琳</v>
          </cell>
          <cell r="C203">
            <v>2200</v>
          </cell>
          <cell r="D203">
            <v>20.82</v>
          </cell>
          <cell r="E203" t="str">
            <v>6222023202043883767</v>
          </cell>
        </row>
        <row r="204">
          <cell r="A204" t="str">
            <v>00010871</v>
          </cell>
          <cell r="B204" t="str">
            <v>俞兆旺</v>
          </cell>
          <cell r="C204">
            <v>4500</v>
          </cell>
          <cell r="D204">
            <v>492.85000000000008</v>
          </cell>
          <cell r="E204" t="str">
            <v>3202160601010512561</v>
          </cell>
        </row>
        <row r="205">
          <cell r="A205" t="str">
            <v>00012181</v>
          </cell>
          <cell r="B205" t="str">
            <v>屈文谦</v>
          </cell>
          <cell r="C205">
            <v>5000</v>
          </cell>
          <cell r="D205">
            <v>471.08</v>
          </cell>
          <cell r="E205" t="str">
            <v>3202160601010422706</v>
          </cell>
        </row>
        <row r="206">
          <cell r="A206" t="str">
            <v>00011660</v>
          </cell>
          <cell r="B206" t="str">
            <v>李建雄</v>
          </cell>
          <cell r="C206">
            <v>4100</v>
          </cell>
          <cell r="D206">
            <v>347.19</v>
          </cell>
          <cell r="E206" t="str">
            <v>3202160601010422431</v>
          </cell>
        </row>
        <row r="207">
          <cell r="A207" t="str">
            <v>00012510</v>
          </cell>
          <cell r="B207" t="str">
            <v>周玉霞</v>
          </cell>
          <cell r="C207">
            <v>3950</v>
          </cell>
          <cell r="D207">
            <v>275.10000000000002</v>
          </cell>
          <cell r="E207" t="str">
            <v>3202160601011018451</v>
          </cell>
        </row>
        <row r="208">
          <cell r="A208" t="str">
            <v>00011662</v>
          </cell>
          <cell r="B208" t="str">
            <v>吴运卿</v>
          </cell>
          <cell r="C208">
            <v>7100</v>
          </cell>
          <cell r="D208">
            <v>898.63</v>
          </cell>
          <cell r="E208" t="str">
            <v>3202160601064391342</v>
          </cell>
        </row>
        <row r="209">
          <cell r="A209" t="str">
            <v>00011573</v>
          </cell>
          <cell r="B209" t="str">
            <v>黄忠华</v>
          </cell>
          <cell r="C209">
            <v>3000</v>
          </cell>
          <cell r="D209">
            <v>176.75</v>
          </cell>
          <cell r="E209" t="str">
            <v>3202160601010411747</v>
          </cell>
        </row>
        <row r="210">
          <cell r="A210" t="str">
            <v>00011453</v>
          </cell>
          <cell r="B210" t="str">
            <v>梅俊祥</v>
          </cell>
          <cell r="C210">
            <v>2650</v>
          </cell>
          <cell r="D210">
            <v>164.31</v>
          </cell>
          <cell r="E210" t="str">
            <v>3202160601010430010</v>
          </cell>
        </row>
        <row r="211">
          <cell r="A211" t="str">
            <v>00011203</v>
          </cell>
          <cell r="B211" t="str">
            <v>胡承胜</v>
          </cell>
          <cell r="C211">
            <v>2800</v>
          </cell>
          <cell r="D211">
            <v>156.99</v>
          </cell>
          <cell r="E211" t="str">
            <v>3202160601010754638</v>
          </cell>
        </row>
        <row r="212">
          <cell r="A212" t="str">
            <v>00011452</v>
          </cell>
          <cell r="B212" t="str">
            <v>刘 峰</v>
          </cell>
          <cell r="C212">
            <v>3000</v>
          </cell>
          <cell r="D212">
            <v>174.55</v>
          </cell>
          <cell r="E212" t="str">
            <v>3202160601010430134</v>
          </cell>
        </row>
        <row r="213">
          <cell r="A213" t="str">
            <v>00011528</v>
          </cell>
          <cell r="B213" t="str">
            <v>任春秀</v>
          </cell>
          <cell r="C213">
            <v>4930</v>
          </cell>
          <cell r="D213">
            <v>322.38</v>
          </cell>
          <cell r="E213" t="str">
            <v>3202160601010616507</v>
          </cell>
        </row>
        <row r="214">
          <cell r="A214" t="str">
            <v>00011451</v>
          </cell>
          <cell r="B214" t="str">
            <v>熊 英</v>
          </cell>
          <cell r="C214">
            <v>2030</v>
          </cell>
          <cell r="D214">
            <v>43.51</v>
          </cell>
          <cell r="E214" t="str">
            <v>3202160601010326375</v>
          </cell>
        </row>
        <row r="215">
          <cell r="A215" t="str">
            <v>00011666</v>
          </cell>
          <cell r="B215" t="str">
            <v>龙元英</v>
          </cell>
          <cell r="C215">
            <v>4780</v>
          </cell>
          <cell r="D215">
            <v>324.33999999999997</v>
          </cell>
          <cell r="E215" t="str">
            <v>3202160601010643244</v>
          </cell>
        </row>
        <row r="216">
          <cell r="A216" t="str">
            <v>00011661</v>
          </cell>
          <cell r="B216" t="str">
            <v>蔡映红</v>
          </cell>
          <cell r="C216">
            <v>2030</v>
          </cell>
          <cell r="D216">
            <v>44.93</v>
          </cell>
          <cell r="E216" t="str">
            <v>3202160601010422954</v>
          </cell>
        </row>
        <row r="217">
          <cell r="A217" t="str">
            <v>00011513</v>
          </cell>
          <cell r="B217" t="str">
            <v>吴云芳</v>
          </cell>
          <cell r="C217">
            <v>2480</v>
          </cell>
          <cell r="D217">
            <v>67.34</v>
          </cell>
          <cell r="E217" t="str">
            <v>3202160601010649578</v>
          </cell>
        </row>
        <row r="218">
          <cell r="A218" t="str">
            <v>00011884</v>
          </cell>
          <cell r="B218" t="str">
            <v>林 涛</v>
          </cell>
          <cell r="C218">
            <v>2480</v>
          </cell>
          <cell r="D218">
            <v>61.13</v>
          </cell>
          <cell r="E218" t="str">
            <v>6222083202005806084</v>
          </cell>
        </row>
        <row r="219">
          <cell r="A219" t="str">
            <v>00011670</v>
          </cell>
          <cell r="B219" t="str">
            <v>王 放</v>
          </cell>
          <cell r="C219">
            <v>2630</v>
          </cell>
          <cell r="D219">
            <v>98.08</v>
          </cell>
          <cell r="E219" t="str">
            <v>3202160601010442367</v>
          </cell>
        </row>
        <row r="220">
          <cell r="A220" t="str">
            <v>00011566</v>
          </cell>
          <cell r="B220" t="str">
            <v>贾 嘉</v>
          </cell>
          <cell r="C220">
            <v>1930</v>
          </cell>
          <cell r="D220">
            <v>38.43</v>
          </cell>
          <cell r="E220" t="str">
            <v>3202160601010381727</v>
          </cell>
        </row>
        <row r="221">
          <cell r="A221" t="str">
            <v>00008088</v>
          </cell>
          <cell r="B221" t="str">
            <v>李 坤</v>
          </cell>
          <cell r="C221">
            <v>1700</v>
          </cell>
          <cell r="D221">
            <v>12.56</v>
          </cell>
          <cell r="E221" t="str">
            <v>3202160601062244352</v>
          </cell>
        </row>
        <row r="222">
          <cell r="A222" t="str">
            <v>00008996</v>
          </cell>
          <cell r="B222" t="str">
            <v>徐国章</v>
          </cell>
          <cell r="C222">
            <v>2250</v>
          </cell>
          <cell r="D222">
            <v>28.92</v>
          </cell>
          <cell r="E222" t="str">
            <v>3202160601063842635</v>
          </cell>
        </row>
        <row r="223">
          <cell r="A223" t="str">
            <v>00009334</v>
          </cell>
          <cell r="B223" t="str">
            <v>左志香</v>
          </cell>
          <cell r="C223">
            <v>1800</v>
          </cell>
          <cell r="D223">
            <v>15.19</v>
          </cell>
          <cell r="E223" t="str">
            <v>6222083202001779939</v>
          </cell>
        </row>
        <row r="224">
          <cell r="A224" t="str">
            <v>00009460</v>
          </cell>
          <cell r="B224" t="str">
            <v>韩春玲</v>
          </cell>
          <cell r="C224">
            <v>1700</v>
          </cell>
          <cell r="D224">
            <v>7.02</v>
          </cell>
          <cell r="E224" t="str">
            <v>3202160601064510067</v>
          </cell>
        </row>
        <row r="225">
          <cell r="A225" t="str">
            <v>00009683</v>
          </cell>
          <cell r="B225" t="str">
            <v>韩 琦</v>
          </cell>
          <cell r="C225">
            <v>1800</v>
          </cell>
          <cell r="D225">
            <v>14.2</v>
          </cell>
          <cell r="E225" t="str">
            <v>6222023202030818149</v>
          </cell>
        </row>
        <row r="226">
          <cell r="A226" t="str">
            <v>00009969</v>
          </cell>
          <cell r="B226" t="str">
            <v>刘 祎</v>
          </cell>
          <cell r="C226">
            <v>1800</v>
          </cell>
          <cell r="D226">
            <v>14.41</v>
          </cell>
          <cell r="E226" t="str">
            <v>6222023202031219834</v>
          </cell>
        </row>
        <row r="227">
          <cell r="A227" t="str">
            <v>00030264</v>
          </cell>
          <cell r="B227" t="str">
            <v>向 昭</v>
          </cell>
          <cell r="C227">
            <v>1800</v>
          </cell>
          <cell r="D227">
            <v>13.75</v>
          </cell>
          <cell r="E227" t="str">
            <v>6222023202020823687</v>
          </cell>
        </row>
        <row r="228">
          <cell r="A228" t="str">
            <v>00030306</v>
          </cell>
          <cell r="B228" t="str">
            <v>李 丹</v>
          </cell>
          <cell r="C228">
            <v>1700</v>
          </cell>
          <cell r="D228">
            <v>6.92</v>
          </cell>
          <cell r="E228" t="str">
            <v>6222023202047636005</v>
          </cell>
        </row>
        <row r="229">
          <cell r="A229" t="str">
            <v>00030310</v>
          </cell>
          <cell r="B229" t="str">
            <v>刘嘉梅</v>
          </cell>
          <cell r="C229">
            <v>1700</v>
          </cell>
          <cell r="D229">
            <v>4.75</v>
          </cell>
          <cell r="E229" t="str">
            <v>6222083202005806993</v>
          </cell>
        </row>
        <row r="230">
          <cell r="A230" t="str">
            <v>00009705</v>
          </cell>
          <cell r="B230" t="str">
            <v>张慧芸</v>
          </cell>
          <cell r="C230">
            <v>1700</v>
          </cell>
          <cell r="D230">
            <v>5.8</v>
          </cell>
          <cell r="E230" t="str">
            <v>6222023202021297634</v>
          </cell>
        </row>
        <row r="231">
          <cell r="A231" t="str">
            <v>00011209</v>
          </cell>
          <cell r="B231" t="str">
            <v>孔祥元</v>
          </cell>
          <cell r="C231">
            <v>2100</v>
          </cell>
          <cell r="D231">
            <v>96.36</v>
          </cell>
          <cell r="E231" t="str">
            <v>3202160601010421254</v>
          </cell>
        </row>
        <row r="232">
          <cell r="A232" t="str">
            <v>00011205</v>
          </cell>
          <cell r="B232" t="str">
            <v>徐占国</v>
          </cell>
          <cell r="C232">
            <v>1950</v>
          </cell>
          <cell r="D232">
            <v>54.09</v>
          </cell>
          <cell r="E232" t="str">
            <v>3202160601010420875</v>
          </cell>
        </row>
        <row r="233">
          <cell r="A233" t="str">
            <v>00011207</v>
          </cell>
          <cell r="B233" t="str">
            <v>关良宝</v>
          </cell>
          <cell r="C233">
            <v>2100</v>
          </cell>
          <cell r="D233">
            <v>96.36</v>
          </cell>
          <cell r="E233" t="str">
            <v>3202160601010421378</v>
          </cell>
        </row>
        <row r="234">
          <cell r="A234" t="str">
            <v>00011202</v>
          </cell>
          <cell r="B234" t="str">
            <v>舒卫萍</v>
          </cell>
          <cell r="C234">
            <v>1430</v>
          </cell>
          <cell r="D234">
            <v>19.579999999999998</v>
          </cell>
          <cell r="E234" t="str">
            <v>3202160601010617657</v>
          </cell>
        </row>
        <row r="235">
          <cell r="A235" t="str">
            <v>00011186</v>
          </cell>
          <cell r="B235" t="str">
            <v>陆 丹</v>
          </cell>
          <cell r="C235">
            <v>1430</v>
          </cell>
          <cell r="D235">
            <v>21.5</v>
          </cell>
          <cell r="E235" t="str">
            <v>3202160601010348390</v>
          </cell>
        </row>
        <row r="236">
          <cell r="A236" t="str">
            <v>00009650</v>
          </cell>
          <cell r="B236" t="str">
            <v>卫晓婧</v>
          </cell>
          <cell r="C236">
            <v>1200</v>
          </cell>
          <cell r="D236">
            <v>0</v>
          </cell>
          <cell r="E236" t="str">
            <v>3202160601064534684</v>
          </cell>
        </row>
        <row r="237">
          <cell r="A237" t="str">
            <v>00009671</v>
          </cell>
          <cell r="B237" t="str">
            <v>刘小然</v>
          </cell>
          <cell r="C237">
            <v>1280</v>
          </cell>
          <cell r="D237">
            <v>1.1399999999999999</v>
          </cell>
          <cell r="E237" t="str">
            <v>6222023202023264681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cts"/>
      <sheetName val="whu.edu.cn"/>
      <sheetName val="qq.com"/>
      <sheetName val="Phone Number"/>
    </sheetNames>
    <sheetDataSet>
      <sheetData sheetId="0">
        <row r="2">
          <cell r="A2" t="str">
            <v>00007282</v>
          </cell>
          <cell r="G2" t="str">
            <v>xiehua@whu.edu.cn</v>
          </cell>
        </row>
        <row r="3">
          <cell r="A3" t="str">
            <v>00007283</v>
          </cell>
          <cell r="G3" t="str">
            <v>yhzeng@whu.edu.cn</v>
          </cell>
        </row>
        <row r="4">
          <cell r="A4" t="str">
            <v>00007370</v>
          </cell>
          <cell r="G4" t="str">
            <v>fengxl1972@yahoo.com.cn</v>
          </cell>
        </row>
        <row r="5">
          <cell r="A5" t="str">
            <v>00007375</v>
          </cell>
          <cell r="G5" t="str">
            <v>liyc@whu.edu.cn</v>
          </cell>
        </row>
        <row r="6">
          <cell r="A6" t="str">
            <v>00007483</v>
          </cell>
          <cell r="G6" t="str">
            <v>wwangkang@163.com</v>
          </cell>
        </row>
        <row r="7">
          <cell r="A7" t="str">
            <v>00007525</v>
          </cell>
          <cell r="G7" t="str">
            <v>djywh@263.net</v>
          </cell>
        </row>
        <row r="8">
          <cell r="A8" t="str">
            <v>00007612</v>
          </cell>
          <cell r="G8" t="str">
            <v>xczhang@whu.edu.cn</v>
          </cell>
        </row>
        <row r="9">
          <cell r="A9" t="str">
            <v>00007681</v>
          </cell>
          <cell r="G9" t="str">
            <v>hapland@163.com</v>
          </cell>
        </row>
        <row r="10">
          <cell r="A10" t="str">
            <v>00007720</v>
          </cell>
          <cell r="G10" t="str">
            <v>yzh@whu.edu.cn</v>
          </cell>
        </row>
        <row r="11">
          <cell r="A11" t="str">
            <v>00007774</v>
          </cell>
          <cell r="G11" t="str">
            <v>zdqian@whu.edu.cn</v>
          </cell>
        </row>
        <row r="12">
          <cell r="A12" t="str">
            <v>00007776</v>
          </cell>
          <cell r="G12" t="str">
            <v>zxcao@whu.edu.cn</v>
          </cell>
        </row>
        <row r="13">
          <cell r="A13" t="str">
            <v>00007813</v>
          </cell>
          <cell r="G13" t="str">
            <v>csyfchen@whu.edu.cn</v>
          </cell>
        </row>
        <row r="14">
          <cell r="A14" t="str">
            <v>00007815</v>
          </cell>
          <cell r="G14" t="str">
            <v>shrcao@whu.edu.cn</v>
          </cell>
        </row>
        <row r="15">
          <cell r="A15" t="str">
            <v>00007816</v>
          </cell>
          <cell r="G15" t="str">
            <v>zw_mxx@163.com</v>
          </cell>
        </row>
        <row r="16">
          <cell r="A16" t="str">
            <v>00007817</v>
          </cell>
          <cell r="G16" t="str">
            <v>lnszh@126.com</v>
          </cell>
        </row>
        <row r="17">
          <cell r="A17" t="str">
            <v>00007818</v>
          </cell>
          <cell r="G17" t="str">
            <v>liben1564@sina.com</v>
          </cell>
        </row>
        <row r="18">
          <cell r="A18" t="str">
            <v>00007907</v>
          </cell>
          <cell r="G18" t="str">
            <v>whusyq@163.com</v>
          </cell>
        </row>
        <row r="19">
          <cell r="A19" t="str">
            <v>00008034</v>
          </cell>
          <cell r="G19" t="str">
            <v>liupan@whu.edu.cn</v>
          </cell>
        </row>
        <row r="20">
          <cell r="A20" t="str">
            <v>00008035</v>
          </cell>
          <cell r="G20" t="str">
            <v>lixp2004@163.com</v>
          </cell>
        </row>
        <row r="21">
          <cell r="A21" t="str">
            <v>00008036</v>
          </cell>
          <cell r="G21" t="str">
            <v>jyl1219fc@hotmail.com</v>
          </cell>
        </row>
        <row r="22">
          <cell r="A22" t="str">
            <v>00008088</v>
          </cell>
          <cell r="G22" t="str">
            <v>LiKun@whu.edu.cn</v>
          </cell>
        </row>
        <row r="23">
          <cell r="A23" t="str">
            <v>00008094</v>
          </cell>
          <cell r="G23" t="str">
            <v>dianqing@whu.edu.cn</v>
          </cell>
        </row>
        <row r="24">
          <cell r="A24" t="str">
            <v>00008288</v>
          </cell>
          <cell r="G24" t="str">
            <v>chenjt000@163.com</v>
          </cell>
        </row>
        <row r="25">
          <cell r="A25" t="str">
            <v>00009823</v>
          </cell>
          <cell r="G25" t="str">
            <v>yanphd@yahoo.com.cn</v>
          </cell>
        </row>
        <row r="26">
          <cell r="A26" t="str">
            <v>00008414</v>
          </cell>
          <cell r="G26" t="str">
            <v>zw97082@126.com</v>
          </cell>
        </row>
        <row r="27">
          <cell r="A27" t="str">
            <v>00008415</v>
          </cell>
          <cell r="G27" t="str">
            <v>whuchm@whu.edu.cn</v>
          </cell>
        </row>
        <row r="28">
          <cell r="A28" t="str">
            <v>00008416</v>
          </cell>
          <cell r="G28" t="str">
            <v>suker8044@163.com</v>
          </cell>
        </row>
        <row r="29">
          <cell r="A29" t="str">
            <v>00008417</v>
          </cell>
          <cell r="G29" t="str">
            <v>chua@whu.edu.cn</v>
          </cell>
        </row>
        <row r="30">
          <cell r="A30" t="str">
            <v>00008498</v>
          </cell>
          <cell r="G30" t="str">
            <v>hsyang@whu.edu.cn</v>
          </cell>
        </row>
        <row r="31">
          <cell r="A31" t="str">
            <v>00008820</v>
          </cell>
          <cell r="G31" t="str">
            <v>dqjin@whu.edu.cn</v>
          </cell>
        </row>
        <row r="32">
          <cell r="A32" t="str">
            <v>00008898</v>
          </cell>
          <cell r="G32" t="str">
            <v>shliu-job@163.com</v>
          </cell>
        </row>
        <row r="33">
          <cell r="A33" t="str">
            <v>00008921</v>
          </cell>
          <cell r="G33" t="str">
            <v>xuqing8263@hotmail.com</v>
          </cell>
        </row>
        <row r="34">
          <cell r="A34" t="str">
            <v>00008996</v>
          </cell>
          <cell r="G34" t="str">
            <v>iamxgz@163.com</v>
          </cell>
        </row>
        <row r="35">
          <cell r="A35" t="str">
            <v>00009155</v>
          </cell>
          <cell r="G35" t="str">
            <v>xlfu@whu.edu.cn</v>
          </cell>
        </row>
        <row r="36">
          <cell r="A36" t="str">
            <v>00009234</v>
          </cell>
          <cell r="G36" t="str">
            <v>cwshu@163.com</v>
          </cell>
        </row>
        <row r="37">
          <cell r="A37" t="str">
            <v>00009235</v>
          </cell>
          <cell r="G37" t="str">
            <v>danlee@whu.edu.cn</v>
          </cell>
        </row>
        <row r="38">
          <cell r="A38" t="str">
            <v>00009305</v>
          </cell>
          <cell r="G38" t="str">
            <v>gwquan@163.com</v>
          </cell>
        </row>
        <row r="39">
          <cell r="A39" t="str">
            <v>00009334</v>
          </cell>
          <cell r="G39" t="str">
            <v>183275510@QQ.com</v>
          </cell>
        </row>
        <row r="40">
          <cell r="A40" t="str">
            <v>00009377</v>
          </cell>
          <cell r="G40" t="str">
            <v>liangshs@gmail.com</v>
          </cell>
        </row>
        <row r="41">
          <cell r="A41" t="str">
            <v>00009403</v>
          </cell>
          <cell r="G41" t="str">
            <v>00009403@whu.edu.cn</v>
          </cell>
        </row>
        <row r="42">
          <cell r="A42" t="str">
            <v>00009454</v>
          </cell>
          <cell r="G42" t="str">
            <v>xiajq@whu.edu.cn</v>
          </cell>
        </row>
        <row r="43">
          <cell r="A43" t="str">
            <v>00009460</v>
          </cell>
          <cell r="G43" t="str">
            <v>hancl@whu.edu.cn</v>
          </cell>
        </row>
        <row r="44">
          <cell r="A44" t="str">
            <v>00009650</v>
          </cell>
          <cell r="G44" t="str">
            <v>hellomuki@tom.com</v>
          </cell>
        </row>
        <row r="45">
          <cell r="A45" t="str">
            <v>00009654</v>
          </cell>
          <cell r="G45" t="str">
            <v xml:space="preserve">chengyg@whu.edu.cn
</v>
          </cell>
        </row>
        <row r="46">
          <cell r="A46" t="str">
            <v>00009667</v>
          </cell>
          <cell r="G46" t="str">
            <v>dediliu@163.com</v>
          </cell>
        </row>
        <row r="47">
          <cell r="A47" t="str">
            <v>00009671</v>
          </cell>
          <cell r="G47" t="str">
            <v>44320093@qq.com</v>
          </cell>
        </row>
        <row r="48">
          <cell r="A48" t="str">
            <v>00009682</v>
          </cell>
          <cell r="G48" t="str">
            <v>00009682@whu.edu.cn</v>
          </cell>
        </row>
        <row r="49">
          <cell r="A49" t="str">
            <v>00009683</v>
          </cell>
          <cell r="G49" t="str">
            <v>zhongjie_han@163.com</v>
          </cell>
        </row>
        <row r="50">
          <cell r="A50" t="str">
            <v>00009739</v>
          </cell>
          <cell r="G50" t="str">
            <v>00009739@whu.edu.cn</v>
          </cell>
        </row>
        <row r="51">
          <cell r="A51" t="str">
            <v>00009823</v>
          </cell>
          <cell r="G51" t="str">
            <v>pyanwhu@whu.edu.cn</v>
          </cell>
        </row>
        <row r="52">
          <cell r="A52" t="str">
            <v>00009855</v>
          </cell>
          <cell r="G52" t="str">
            <v>75992435@qq.com</v>
          </cell>
        </row>
        <row r="53">
          <cell r="A53" t="str">
            <v>00009934</v>
          </cell>
          <cell r="G53" t="str">
            <v>00009934@whu.edu.cn</v>
          </cell>
        </row>
        <row r="54">
          <cell r="A54" t="str">
            <v>00009969</v>
          </cell>
          <cell r="G54" t="str">
            <v>82040659@qq.com</v>
          </cell>
        </row>
        <row r="55">
          <cell r="A55" t="str">
            <v>00010001</v>
          </cell>
          <cell r="G55" t="str">
            <v>wb_whu@263.net</v>
          </cell>
        </row>
        <row r="56">
          <cell r="A56" t="str">
            <v>00010188</v>
          </cell>
          <cell r="G56" t="str">
            <v>duanyahui@263.net</v>
          </cell>
        </row>
        <row r="57">
          <cell r="A57" t="str">
            <v>00010189</v>
          </cell>
          <cell r="G57" t="str">
            <v>wenquanliang@163.com</v>
          </cell>
        </row>
        <row r="58">
          <cell r="A58" t="str">
            <v>00010327</v>
          </cell>
          <cell r="G58" t="str">
            <v>hbwhsys@126.com</v>
          </cell>
        </row>
        <row r="59">
          <cell r="A59" t="str">
            <v>00010471</v>
          </cell>
          <cell r="G59" t="str">
            <v>zlcgood@126.com</v>
          </cell>
        </row>
        <row r="60">
          <cell r="A60" t="str">
            <v>00010475</v>
          </cell>
          <cell r="G60" t="str">
            <v>dxliu@whu.edu.cn</v>
          </cell>
        </row>
        <row r="61">
          <cell r="A61" t="str">
            <v>00010483</v>
          </cell>
          <cell r="G61" t="str">
            <v>wmfeng@whu.edu.cn</v>
          </cell>
        </row>
        <row r="62">
          <cell r="A62" t="str">
            <v>00010485</v>
          </cell>
          <cell r="G62" t="str">
            <v>xiangyuanh@126.com</v>
          </cell>
        </row>
        <row r="63">
          <cell r="A63" t="str">
            <v>00010682</v>
          </cell>
          <cell r="G63" t="str">
            <v>slguo@whu.edu.cn</v>
          </cell>
        </row>
        <row r="64">
          <cell r="A64" t="str">
            <v>00010871</v>
          </cell>
          <cell r="G64" t="str">
            <v>zwyu7825@sohu.com</v>
          </cell>
        </row>
        <row r="65">
          <cell r="A65" t="str">
            <v>00011180</v>
          </cell>
          <cell r="G65" t="str">
            <v>cbzhou@whu.edu.cn</v>
          </cell>
        </row>
        <row r="66">
          <cell r="A66" t="str">
            <v>00011186</v>
          </cell>
          <cell r="G66" t="str">
            <v>00011186@whu.edu.cn</v>
          </cell>
        </row>
        <row r="67">
          <cell r="A67" t="str">
            <v>00011202</v>
          </cell>
          <cell r="G67" t="str">
            <v>00011202@whu.edu.cn</v>
          </cell>
        </row>
        <row r="68">
          <cell r="A68" t="str">
            <v>00011203</v>
          </cell>
          <cell r="G68" t="str">
            <v>hu.chengsheng@263.net</v>
          </cell>
        </row>
        <row r="69">
          <cell r="A69" t="str">
            <v>00011205</v>
          </cell>
          <cell r="G69" t="str">
            <v>00011205@whu.edu.cn</v>
          </cell>
        </row>
        <row r="70">
          <cell r="A70" t="str">
            <v>00011207</v>
          </cell>
          <cell r="G70" t="str">
            <v>whbzjs@163.com</v>
          </cell>
        </row>
        <row r="71">
          <cell r="A71" t="str">
            <v>00011209</v>
          </cell>
          <cell r="G71" t="str">
            <v>00011209@whu.edu.cn</v>
          </cell>
        </row>
        <row r="72">
          <cell r="A72" t="str">
            <v>00011269</v>
          </cell>
          <cell r="G72" t="str">
            <v>cdwwh@tom.com</v>
          </cell>
        </row>
        <row r="73">
          <cell r="A73" t="str">
            <v>00011432</v>
          </cell>
          <cell r="G73" t="str">
            <v>00011432@whu.edu.cn</v>
          </cell>
        </row>
        <row r="74">
          <cell r="A74" t="str">
            <v>00011433</v>
          </cell>
          <cell r="G74" t="str">
            <v>wh-ly@sohu.com</v>
          </cell>
        </row>
        <row r="75">
          <cell r="A75" t="str">
            <v>00011434</v>
          </cell>
          <cell r="G75" t="str">
            <v>wbf1988@vip.sina.com</v>
          </cell>
        </row>
        <row r="76">
          <cell r="A76" t="str">
            <v>00011435</v>
          </cell>
          <cell r="G76" t="str">
            <v>jdyang@whu.edu.cn</v>
          </cell>
        </row>
        <row r="77">
          <cell r="A77" t="str">
            <v>00011436</v>
          </cell>
          <cell r="G77" t="str">
            <v>mxiao@whu.edu.cn</v>
          </cell>
        </row>
        <row r="78">
          <cell r="A78" t="str">
            <v>00011437</v>
          </cell>
          <cell r="G78" t="str">
            <v>mlliaxu@public.wh.hb.cn</v>
          </cell>
        </row>
        <row r="79">
          <cell r="A79" t="str">
            <v>00011438</v>
          </cell>
          <cell r="G79" t="str">
            <v>chengyg2000@yahoo.com.cn</v>
          </cell>
        </row>
        <row r="80">
          <cell r="A80" t="str">
            <v>00011441</v>
          </cell>
          <cell r="G80" t="str">
            <v>lukeping@whu.edu.cn</v>
          </cell>
        </row>
        <row r="81">
          <cell r="A81" t="str">
            <v>00011442</v>
          </cell>
          <cell r="G81" t="str">
            <v>yuanhanfang0405@sina.com</v>
          </cell>
        </row>
        <row r="82">
          <cell r="A82" t="str">
            <v>00011443</v>
          </cell>
          <cell r="G82" t="str">
            <v>zlg124@tom.com</v>
          </cell>
        </row>
        <row r="83">
          <cell r="A83" t="str">
            <v>00011451</v>
          </cell>
          <cell r="G83" t="str">
            <v>slyjs@whu.edu.cn</v>
          </cell>
        </row>
        <row r="84">
          <cell r="A84" t="str">
            <v>00011452</v>
          </cell>
          <cell r="G84" t="str">
            <v>liufeng62@yeah.net</v>
          </cell>
        </row>
        <row r="85">
          <cell r="A85" t="str">
            <v>00011453</v>
          </cell>
          <cell r="G85" t="str">
            <v>slkyl@whu.edu.cn</v>
          </cell>
        </row>
        <row r="86">
          <cell r="A86" t="str">
            <v>00011458</v>
          </cell>
          <cell r="G86" t="str">
            <v>1045035430@qq.com</v>
          </cell>
        </row>
        <row r="87">
          <cell r="A87" t="str">
            <v>00011459</v>
          </cell>
          <cell r="G87" t="str">
            <v>1556932025@qq.com</v>
          </cell>
        </row>
        <row r="88">
          <cell r="A88" t="str">
            <v>00011463</v>
          </cell>
          <cell r="G88" t="str">
            <v>346995068@qq.com</v>
          </cell>
        </row>
        <row r="89">
          <cell r="A89" t="str">
            <v>00011464</v>
          </cell>
          <cell r="G89" t="str">
            <v>1940921184@qq.com</v>
          </cell>
        </row>
        <row r="90">
          <cell r="A90" t="str">
            <v>00011466</v>
          </cell>
          <cell r="G90" t="str">
            <v>shihe3086@163.com</v>
          </cell>
        </row>
        <row r="91">
          <cell r="A91" t="str">
            <v>00011467</v>
          </cell>
          <cell r="G91" t="str">
            <v>lujing@whu.edu.cn</v>
          </cell>
        </row>
        <row r="92">
          <cell r="A92" t="str">
            <v>00011469</v>
          </cell>
          <cell r="G92" t="str">
            <v>00011469@whu.edu.cn</v>
          </cell>
        </row>
        <row r="93">
          <cell r="A93" t="str">
            <v>00011475</v>
          </cell>
          <cell r="G93" t="str">
            <v>1353235401@qq.com</v>
          </cell>
        </row>
        <row r="94">
          <cell r="A94" t="str">
            <v>00011476</v>
          </cell>
          <cell r="G94" t="str">
            <v>yxliu@whu.edu.cn</v>
          </cell>
        </row>
        <row r="95">
          <cell r="A95" t="str">
            <v>00011477</v>
          </cell>
          <cell r="G95" t="str">
            <v>nwdeng@163.com</v>
          </cell>
        </row>
        <row r="96">
          <cell r="A96" t="str">
            <v>00011478</v>
          </cell>
          <cell r="G96" t="str">
            <v>jzheng003@163.com</v>
          </cell>
        </row>
        <row r="97">
          <cell r="A97" t="str">
            <v>00011479</v>
          </cell>
          <cell r="G97" t="str">
            <v>lhm631106@sina.com</v>
          </cell>
        </row>
        <row r="98">
          <cell r="A98" t="str">
            <v>00011480</v>
          </cell>
          <cell r="G98" t="str">
            <v>rg_mail@yeah.net</v>
          </cell>
        </row>
        <row r="99">
          <cell r="A99" t="str">
            <v>00011481</v>
          </cell>
          <cell r="G99" t="str">
            <v>htwang@whu.edu.cn</v>
          </cell>
        </row>
        <row r="100">
          <cell r="A100" t="str">
            <v>00011482</v>
          </cell>
          <cell r="G100" t="str">
            <v>1203762186@qq.com</v>
          </cell>
        </row>
        <row r="101">
          <cell r="A101" t="str">
            <v>00011485</v>
          </cell>
          <cell r="G101" t="str">
            <v>zenglwhu@163.com</v>
          </cell>
        </row>
        <row r="102">
          <cell r="A102" t="str">
            <v>00011486</v>
          </cell>
          <cell r="G102" t="str">
            <v>yhliu@whu.edu.cn</v>
          </cell>
        </row>
        <row r="103">
          <cell r="A103" t="str">
            <v>00011489</v>
          </cell>
          <cell r="G103" t="str">
            <v>evahezhen@126.com</v>
          </cell>
        </row>
        <row r="104">
          <cell r="A104" t="str">
            <v>00011490</v>
          </cell>
          <cell r="G104" t="str">
            <v>hezhengyong.1@163.com</v>
          </cell>
        </row>
        <row r="105">
          <cell r="A105" t="str">
            <v>00011491</v>
          </cell>
          <cell r="G105" t="str">
            <v>yruan@whu.edu.cn</v>
          </cell>
        </row>
        <row r="106">
          <cell r="A106" t="str">
            <v>00011492</v>
          </cell>
          <cell r="G106" t="str">
            <v>zyltsj@126.com</v>
          </cell>
        </row>
        <row r="107">
          <cell r="A107" t="str">
            <v>00011497</v>
          </cell>
          <cell r="G107" t="str">
            <v>xumingy@tom.com</v>
          </cell>
        </row>
        <row r="108">
          <cell r="A108" t="str">
            <v>00011499</v>
          </cell>
          <cell r="G108" t="str">
            <v>whuhjp@163.com</v>
          </cell>
        </row>
        <row r="109">
          <cell r="A109" t="str">
            <v>00011500</v>
          </cell>
          <cell r="G109" t="str">
            <v>mingli@whu.edu.cn</v>
          </cell>
        </row>
        <row r="110">
          <cell r="A110" t="str">
            <v>00011501</v>
          </cell>
          <cell r="G110" t="str">
            <v>laiguowei@sina.com.cn</v>
          </cell>
        </row>
        <row r="111">
          <cell r="A111" t="str">
            <v>00011502</v>
          </cell>
          <cell r="G111" t="str">
            <v>sgjg2219@tom.com</v>
          </cell>
        </row>
        <row r="112">
          <cell r="A112" t="str">
            <v>00011503</v>
          </cell>
          <cell r="G112" t="str">
            <v>cxshe@126.com</v>
          </cell>
        </row>
        <row r="113">
          <cell r="A113" t="str">
            <v>00011505</v>
          </cell>
          <cell r="G113" t="str">
            <v>enai@whu.edu.cn</v>
          </cell>
        </row>
        <row r="114">
          <cell r="A114" t="str">
            <v>00011506</v>
          </cell>
          <cell r="G114" t="str">
            <v>ylhe2002@yahoo.com.cn</v>
          </cell>
        </row>
        <row r="115">
          <cell r="A115" t="str">
            <v>00011508</v>
          </cell>
          <cell r="G115" t="str">
            <v>leichuanhua@163.com</v>
          </cell>
        </row>
        <row r="116">
          <cell r="A116" t="str">
            <v>00011510</v>
          </cell>
          <cell r="G116" t="str">
            <v>chensh@whu.edu.cn</v>
          </cell>
        </row>
        <row r="117">
          <cell r="A117" t="str">
            <v>00011511</v>
          </cell>
          <cell r="G117" t="str">
            <v>jxwang@whu.edu.cn</v>
          </cell>
        </row>
        <row r="118">
          <cell r="A118" t="str">
            <v>00011513</v>
          </cell>
          <cell r="G118" t="str">
            <v>1270954527@qq.com</v>
          </cell>
        </row>
        <row r="119">
          <cell r="A119" t="str">
            <v>00011515</v>
          </cell>
          <cell r="G119" t="str">
            <v>xy751024@126.com</v>
          </cell>
        </row>
        <row r="120">
          <cell r="A120" t="str">
            <v>00011517</v>
          </cell>
          <cell r="G120" t="str">
            <v>hch_2003@163.com</v>
          </cell>
        </row>
        <row r="121">
          <cell r="A121" t="str">
            <v>00011518</v>
          </cell>
          <cell r="G121" t="str">
            <v>cyzhu@whu.edu.cn</v>
          </cell>
        </row>
        <row r="122">
          <cell r="A122" t="str">
            <v>00011519</v>
          </cell>
          <cell r="G122" t="str">
            <v>77lpz@163.com</v>
          </cell>
        </row>
        <row r="123">
          <cell r="A123" t="str">
            <v>00011521</v>
          </cell>
          <cell r="G123" t="str">
            <v>sdq62@sina.com.cn</v>
          </cell>
        </row>
        <row r="124">
          <cell r="A124" t="str">
            <v>00011522</v>
          </cell>
          <cell r="G124" t="str">
            <v>sml1963@126.com</v>
          </cell>
        </row>
        <row r="125">
          <cell r="A125" t="str">
            <v>00011523</v>
          </cell>
          <cell r="G125" t="str">
            <v>970555983@qq.com</v>
          </cell>
        </row>
        <row r="126">
          <cell r="A126" t="str">
            <v>00011525</v>
          </cell>
          <cell r="G126" t="str">
            <v>wblu@whu.edu.cn</v>
          </cell>
        </row>
        <row r="127">
          <cell r="A127" t="str">
            <v>00011527</v>
          </cell>
          <cell r="G127" t="str">
            <v>LYLSHOW@WHU.EDU.CN</v>
          </cell>
        </row>
        <row r="128">
          <cell r="A128" t="str">
            <v>00011528</v>
          </cell>
          <cell r="G128" t="str">
            <v>km20006@163.com</v>
          </cell>
        </row>
        <row r="129">
          <cell r="A129" t="str">
            <v>00011529</v>
          </cell>
          <cell r="G129" t="str">
            <v>zhigenhu@163.com</v>
          </cell>
        </row>
        <row r="130">
          <cell r="A130" t="str">
            <v>00011560</v>
          </cell>
          <cell r="G130" t="str">
            <v>2401052423@qq.com</v>
          </cell>
        </row>
        <row r="131">
          <cell r="A131" t="str">
            <v>00011561</v>
          </cell>
          <cell r="G131" t="str">
            <v>wangxw@whu.edu.cn</v>
          </cell>
        </row>
        <row r="132">
          <cell r="A132" t="str">
            <v>00011562</v>
          </cell>
          <cell r="G132" t="str">
            <v>huanghansheng@163.com</v>
          </cell>
        </row>
        <row r="133">
          <cell r="A133" t="str">
            <v>00011563</v>
          </cell>
          <cell r="G133" t="str">
            <v>A1234567_2003@eyou.com</v>
          </cell>
        </row>
        <row r="134">
          <cell r="A134" t="str">
            <v>00011566</v>
          </cell>
          <cell r="G134" t="str">
            <v>jiaj2008@163.com</v>
          </cell>
        </row>
        <row r="135">
          <cell r="A135" t="str">
            <v>00011573</v>
          </cell>
          <cell r="G135" t="str">
            <v>zhhuang@whu.edu.cn</v>
          </cell>
        </row>
        <row r="136">
          <cell r="A136" t="str">
            <v>00011575</v>
          </cell>
          <cell r="G136" t="str">
            <v>hsh5527@126.com</v>
          </cell>
        </row>
        <row r="137">
          <cell r="A137" t="str">
            <v>00011576</v>
          </cell>
          <cell r="G137" t="str">
            <v>qluo@whu.edu.cn</v>
          </cell>
        </row>
        <row r="138">
          <cell r="A138" t="str">
            <v>00011577</v>
          </cell>
          <cell r="G138" t="str">
            <v>dongbin@whu.edu.cn</v>
          </cell>
        </row>
        <row r="139">
          <cell r="A139" t="str">
            <v>00011578</v>
          </cell>
          <cell r="G139" t="str">
            <v>tshu@whu.edu.cn</v>
          </cell>
        </row>
        <row r="140">
          <cell r="A140" t="str">
            <v>00011579</v>
          </cell>
          <cell r="G140" t="str">
            <v>410998129@qq.com</v>
          </cell>
        </row>
        <row r="141">
          <cell r="A141" t="str">
            <v>00011580</v>
          </cell>
          <cell r="G141" t="str">
            <v>jzyang@whu.edu.cn</v>
          </cell>
        </row>
        <row r="142">
          <cell r="A142" t="str">
            <v>00011582</v>
          </cell>
          <cell r="G142" t="str">
            <v>sycai126@163.com</v>
          </cell>
        </row>
        <row r="143">
          <cell r="A143" t="str">
            <v>00011583</v>
          </cell>
          <cell r="G143" t="str">
            <v>dgshao@whu.edu.cn</v>
          </cell>
        </row>
        <row r="144">
          <cell r="A144" t="str">
            <v>00011585</v>
          </cell>
          <cell r="G144" t="str">
            <v>00011585@whu.edu.cn</v>
          </cell>
        </row>
        <row r="145">
          <cell r="A145" t="str">
            <v>00011586</v>
          </cell>
          <cell r="G145" t="str">
            <v>cuiyuanlai@263.net</v>
          </cell>
        </row>
        <row r="146">
          <cell r="A146" t="str">
            <v>00011587</v>
          </cell>
          <cell r="G146" t="str">
            <v>wangxg@whu.edu.cn</v>
          </cell>
        </row>
        <row r="147">
          <cell r="A147" t="str">
            <v>00011588</v>
          </cell>
          <cell r="G147" t="str">
            <v>luojy@whu.edu.cn</v>
          </cell>
        </row>
        <row r="148">
          <cell r="A148" t="str">
            <v>00011590</v>
          </cell>
          <cell r="G148" t="str">
            <v>lhong@whu.edu.cn</v>
          </cell>
        </row>
        <row r="149">
          <cell r="A149" t="str">
            <v>00011591</v>
          </cell>
          <cell r="G149" t="str">
            <v>xhchenw@163.com</v>
          </cell>
        </row>
        <row r="150">
          <cell r="A150" t="str">
            <v>00011592</v>
          </cell>
          <cell r="G150" t="str">
            <v>yfqiu@whu.edu.cn</v>
          </cell>
        </row>
        <row r="151">
          <cell r="A151" t="str">
            <v>00011593</v>
          </cell>
          <cell r="G151" t="str">
            <v>50415634@qq.com</v>
          </cell>
        </row>
        <row r="152">
          <cell r="A152" t="str">
            <v>00011595</v>
          </cell>
          <cell r="G152" t="str">
            <v>00011595@whu.edu.cn</v>
          </cell>
        </row>
        <row r="153">
          <cell r="A153" t="str">
            <v>00011596</v>
          </cell>
          <cell r="G153" t="str">
            <v>qqizhi@163.com</v>
          </cell>
        </row>
        <row r="154">
          <cell r="A154" t="str">
            <v>00011597</v>
          </cell>
          <cell r="G154" t="str">
            <v>waterstill@whu.edu.cn</v>
          </cell>
        </row>
        <row r="155">
          <cell r="A155" t="str">
            <v>00011600</v>
          </cell>
          <cell r="G155" t="str">
            <v>wdwfq@sohu.com</v>
          </cell>
        </row>
        <row r="156">
          <cell r="A156" t="str">
            <v>00011601</v>
          </cell>
          <cell r="G156" t="str">
            <v>fengxb999@21cn.com</v>
          </cell>
        </row>
        <row r="157">
          <cell r="A157" t="str">
            <v>00011602</v>
          </cell>
          <cell r="G157" t="str">
            <v>lcc9583@163.com</v>
          </cell>
        </row>
        <row r="158">
          <cell r="A158" t="str">
            <v>00011603</v>
          </cell>
          <cell r="G158" t="str">
            <v>lcswu@163.com</v>
          </cell>
        </row>
        <row r="159">
          <cell r="A159" t="str">
            <v>00011606</v>
          </cell>
          <cell r="G159" t="str">
            <v>ruanxj663@163.com</v>
          </cell>
        </row>
        <row r="160">
          <cell r="A160" t="str">
            <v>00011608</v>
          </cell>
          <cell r="G160" t="str">
            <v>zhaorongan@163.com</v>
          </cell>
        </row>
        <row r="161">
          <cell r="A161" t="str">
            <v>00011609</v>
          </cell>
          <cell r="G161" t="str">
            <v>mak2654@163.com</v>
          </cell>
        </row>
        <row r="162">
          <cell r="A162" t="str">
            <v>00011610</v>
          </cell>
          <cell r="G162" t="str">
            <v>zitang-shi@sohu.com</v>
          </cell>
        </row>
        <row r="163">
          <cell r="A163" t="str">
            <v>00011611</v>
          </cell>
          <cell r="G163" t="str">
            <v>fzxia@whu.edu.cn</v>
          </cell>
        </row>
        <row r="164">
          <cell r="A164" t="str">
            <v>00011612</v>
          </cell>
          <cell r="G164" t="str">
            <v>txingcan@yahoo.com</v>
          </cell>
        </row>
        <row r="165">
          <cell r="A165" t="str">
            <v>00011613</v>
          </cell>
          <cell r="G165" t="str">
            <v>mjc3742@sina.com.cn</v>
          </cell>
        </row>
        <row r="166">
          <cell r="A166" t="str">
            <v>00011614</v>
          </cell>
          <cell r="G166" t="str">
            <v>zhang_jsg@163.com</v>
          </cell>
        </row>
        <row r="167">
          <cell r="A167" t="str">
            <v>00011615</v>
          </cell>
          <cell r="G167" t="str">
            <v>fcyfcywhu@163.com</v>
          </cell>
        </row>
        <row r="168">
          <cell r="A168" t="str">
            <v>00011616</v>
          </cell>
          <cell r="G168" t="str">
            <v>hdi@whu.edu.cn</v>
          </cell>
        </row>
        <row r="169">
          <cell r="A169" t="str">
            <v>00011617</v>
          </cell>
          <cell r="G169" t="str">
            <v>zlpwhu@sina.com.cn</v>
          </cell>
        </row>
        <row r="170">
          <cell r="A170" t="str">
            <v>00011618</v>
          </cell>
          <cell r="G170" t="str">
            <v>xionglh@whu.edu.cn</v>
          </cell>
        </row>
        <row r="171">
          <cell r="A171" t="str">
            <v>00011619</v>
          </cell>
          <cell r="G171" t="str">
            <v>xiaj@igsnrr.ac.cn</v>
          </cell>
        </row>
        <row r="172">
          <cell r="A172" t="str">
            <v>00011622</v>
          </cell>
          <cell r="G172" t="str">
            <v>songxy@whu.edu.cn</v>
          </cell>
        </row>
        <row r="173">
          <cell r="A173" t="str">
            <v>00011625</v>
          </cell>
          <cell r="G173" t="str">
            <v>lilan@whu.edu.cn</v>
          </cell>
        </row>
        <row r="174">
          <cell r="A174" t="str">
            <v>00011627</v>
          </cell>
          <cell r="G174" t="str">
            <v>pxie@whu.edu.cn</v>
          </cell>
        </row>
        <row r="175">
          <cell r="A175" t="str">
            <v>00011629</v>
          </cell>
          <cell r="G175" t="str">
            <v>00011629@whu.edu.cn</v>
          </cell>
        </row>
        <row r="176">
          <cell r="A176" t="str">
            <v>00011630</v>
          </cell>
          <cell r="G176" t="str">
            <v>ymxiao@163.com</v>
          </cell>
        </row>
        <row r="177">
          <cell r="A177" t="str">
            <v>00011631</v>
          </cell>
          <cell r="G177" t="str">
            <v>hongpeng@whu.edu.cn</v>
          </cell>
        </row>
        <row r="178">
          <cell r="A178" t="str">
            <v>00011632</v>
          </cell>
          <cell r="G178" t="str">
            <v>scottzhx@yeah.net</v>
          </cell>
        </row>
        <row r="179">
          <cell r="A179" t="str">
            <v>00011634</v>
          </cell>
          <cell r="G179" t="str">
            <v>00011634@whu.edu.cn</v>
          </cell>
        </row>
        <row r="180">
          <cell r="A180" t="str">
            <v>00011635</v>
          </cell>
          <cell r="G180" t="str">
            <v>tangm@vip.163.com</v>
          </cell>
        </row>
        <row r="181">
          <cell r="A181" t="str">
            <v>00011636</v>
          </cell>
          <cell r="G181" t="str">
            <v>zpxiong@whu.edu.cn</v>
          </cell>
        </row>
        <row r="182">
          <cell r="A182" t="str">
            <v>00011637</v>
          </cell>
          <cell r="G182" t="str">
            <v>chenliwuhee@263.net</v>
          </cell>
        </row>
        <row r="183">
          <cell r="A183" t="str">
            <v>00011639</v>
          </cell>
          <cell r="G183" t="str">
            <v>luozwrc@163.com</v>
          </cell>
        </row>
        <row r="184">
          <cell r="A184" t="str">
            <v>00011643</v>
          </cell>
          <cell r="G184" t="str">
            <v>bmli@whu.edu.cn</v>
          </cell>
        </row>
        <row r="185">
          <cell r="A185" t="str">
            <v>00011645</v>
          </cell>
          <cell r="G185" t="str">
            <v>wxli1964@163.com</v>
          </cell>
        </row>
        <row r="186">
          <cell r="A186" t="str">
            <v>00011646</v>
          </cell>
          <cell r="G186" t="str">
            <v>zhangxf9@public.wh.hb.cn</v>
          </cell>
        </row>
        <row r="187">
          <cell r="A187" t="str">
            <v>00011647</v>
          </cell>
          <cell r="G187" t="str">
            <v>ytli@whu.edu.cn</v>
          </cell>
        </row>
        <row r="188">
          <cell r="A188" t="str">
            <v>00011650</v>
          </cell>
          <cell r="G188" t="str">
            <v>jmsht001@126.com</v>
          </cell>
        </row>
        <row r="189">
          <cell r="A189" t="str">
            <v>00011651</v>
          </cell>
          <cell r="G189" t="str">
            <v>zhilinwei@sohu.com</v>
          </cell>
        </row>
        <row r="190">
          <cell r="A190" t="str">
            <v>00011652</v>
          </cell>
          <cell r="G190" t="str">
            <v>308062968@qq.com</v>
          </cell>
        </row>
        <row r="191">
          <cell r="A191" t="str">
            <v>00011653</v>
          </cell>
          <cell r="G191" t="str">
            <v>mhyu66@263.net</v>
          </cell>
        </row>
        <row r="192">
          <cell r="A192" t="str">
            <v>00011655</v>
          </cell>
          <cell r="G192" t="str">
            <v>kkli@whu.edu.cn</v>
          </cell>
        </row>
        <row r="193">
          <cell r="A193" t="str">
            <v>00011656</v>
          </cell>
          <cell r="G193" t="str">
            <v>liangliqqq@163.com</v>
          </cell>
        </row>
        <row r="194">
          <cell r="A194" t="str">
            <v>00011657</v>
          </cell>
          <cell r="G194" t="str">
            <v>whongxuey@yahoo.com.cn</v>
          </cell>
        </row>
        <row r="195">
          <cell r="A195" t="str">
            <v>00011660</v>
          </cell>
          <cell r="G195" t="str">
            <v>lijx@whu.edu.cn</v>
          </cell>
        </row>
        <row r="196">
          <cell r="A196" t="str">
            <v>00011661</v>
          </cell>
          <cell r="G196" t="str">
            <v>yhcai8830@yahoo.com.cn</v>
          </cell>
        </row>
        <row r="197">
          <cell r="A197" t="str">
            <v>00011662</v>
          </cell>
          <cell r="G197" t="str">
            <v>wuyq@whu.edu.cn</v>
          </cell>
        </row>
        <row r="198">
          <cell r="A198" t="str">
            <v>00011666</v>
          </cell>
          <cell r="G198" t="str">
            <v>lyy2216@126.com</v>
          </cell>
        </row>
        <row r="199">
          <cell r="A199" t="str">
            <v>00011667</v>
          </cell>
          <cell r="G199" t="str">
            <v>1134204525@qq.com</v>
          </cell>
        </row>
        <row r="200">
          <cell r="A200" t="str">
            <v>00011669</v>
          </cell>
          <cell r="G200" t="str">
            <v>xfu@whu.edu.cn</v>
          </cell>
        </row>
        <row r="201">
          <cell r="A201" t="str">
            <v>00011670</v>
          </cell>
          <cell r="G201" t="str">
            <v>wrhes@whu.edu.cn</v>
          </cell>
        </row>
        <row r="202">
          <cell r="A202" t="str">
            <v>00011671</v>
          </cell>
          <cell r="G202" t="str">
            <v>scgao@whu.edu.cn</v>
          </cell>
        </row>
        <row r="203">
          <cell r="A203" t="str">
            <v>00011672</v>
          </cell>
          <cell r="G203" t="str">
            <v>ydmei@whu.edu.cn</v>
          </cell>
        </row>
        <row r="204">
          <cell r="A204" t="str">
            <v>00011673</v>
          </cell>
          <cell r="G204" t="str">
            <v>csl_csl@263.net</v>
          </cell>
        </row>
        <row r="205">
          <cell r="A205" t="str">
            <v>00011677</v>
          </cell>
          <cell r="G205" t="str">
            <v>1097972914@qq.com</v>
          </cell>
        </row>
        <row r="206">
          <cell r="A206" t="str">
            <v>00011680</v>
          </cell>
          <cell r="G206" t="str">
            <v>xsai@whu.edu.cn</v>
          </cell>
        </row>
        <row r="207">
          <cell r="A207" t="str">
            <v>00011681</v>
          </cell>
          <cell r="G207" t="str">
            <v>wanbiao@whu.edu.cn</v>
          </cell>
        </row>
        <row r="208">
          <cell r="A208" t="str">
            <v>00011682</v>
          </cell>
          <cell r="G208" t="str">
            <v>wdmayong@163.com</v>
          </cell>
        </row>
        <row r="209">
          <cell r="A209" t="str">
            <v>00011683</v>
          </cell>
          <cell r="G209" t="str">
            <v>hydrau@whu.edu.cn</v>
          </cell>
        </row>
        <row r="210">
          <cell r="A210" t="str">
            <v>00011685</v>
          </cell>
          <cell r="G210" t="str">
            <v>hshh2@126.com</v>
          </cell>
        </row>
        <row r="211">
          <cell r="A211" t="str">
            <v>00011686</v>
          </cell>
          <cell r="G211" t="str">
            <v>erqi@whu.edu.cn</v>
          </cell>
        </row>
        <row r="212">
          <cell r="A212" t="str">
            <v>00011688</v>
          </cell>
          <cell r="G212" t="str">
            <v>xzhao@whu.edu.cn</v>
          </cell>
        </row>
        <row r="213">
          <cell r="A213" t="str">
            <v>00011689</v>
          </cell>
          <cell r="G213" t="str">
            <v>wangyuyan_99@sina.com</v>
          </cell>
        </row>
        <row r="214">
          <cell r="A214" t="str">
            <v>00011692</v>
          </cell>
          <cell r="G214" t="str">
            <v>wxhuai@whu.edu.cn</v>
          </cell>
        </row>
        <row r="215">
          <cell r="A215" t="str">
            <v>00011693</v>
          </cell>
          <cell r="G215" t="str">
            <v>yangxt@whu.edu.cn</v>
          </cell>
        </row>
        <row r="216">
          <cell r="A216" t="str">
            <v>00011695</v>
          </cell>
          <cell r="G216" t="str">
            <v>00011695@whu.edu.cn</v>
          </cell>
        </row>
        <row r="217">
          <cell r="A217" t="str">
            <v>00011697</v>
          </cell>
          <cell r="G217" t="str">
            <v>00011697@whu.edu.cn</v>
          </cell>
        </row>
        <row r="218">
          <cell r="A218" t="str">
            <v>00011699</v>
          </cell>
          <cell r="G218" t="str">
            <v>mdzhao@whu.edu.cn</v>
          </cell>
        </row>
        <row r="219">
          <cell r="A219" t="str">
            <v>00011702</v>
          </cell>
          <cell r="G219" t="str">
            <v>00011702@whu.edu.cn</v>
          </cell>
        </row>
        <row r="220">
          <cell r="A220" t="str">
            <v>00011704</v>
          </cell>
          <cell r="G220" t="str">
            <v>dhchen@whu.edu.cn</v>
          </cell>
        </row>
        <row r="221">
          <cell r="A221" t="str">
            <v>00012061</v>
          </cell>
          <cell r="G221" t="str">
            <v>ygl516@sina.com</v>
          </cell>
        </row>
        <row r="222">
          <cell r="A222" t="str">
            <v>00012181</v>
          </cell>
          <cell r="G222" t="str">
            <v>qwq10@tom.com</v>
          </cell>
        </row>
        <row r="223">
          <cell r="A223" t="str">
            <v>00012212</v>
          </cell>
          <cell r="G223" t="str">
            <v>changxl@whu.edu.cn</v>
          </cell>
        </row>
        <row r="224">
          <cell r="A224" t="str">
            <v>00012510</v>
          </cell>
          <cell r="G224" t="str">
            <v>zhouyuxia@whu.edu.cn</v>
          </cell>
        </row>
        <row r="225">
          <cell r="A225" t="str">
            <v>00014917</v>
          </cell>
          <cell r="G225" t="str">
            <v>maozhi@whu.edu.cn</v>
          </cell>
        </row>
        <row r="226">
          <cell r="A226" t="str">
            <v>00030122</v>
          </cell>
          <cell r="G226" t="str">
            <v>zhangyj1015@whu.edu.cn</v>
          </cell>
        </row>
        <row r="227">
          <cell r="A227" t="str">
            <v>00030234</v>
          </cell>
          <cell r="G227" t="str">
            <v>00030234@whu.edu.cn</v>
          </cell>
        </row>
        <row r="228">
          <cell r="A228" t="str">
            <v>00030237</v>
          </cell>
          <cell r="G228" t="str">
            <v>linlin.wh@whu.edu.cn</v>
          </cell>
        </row>
        <row r="229">
          <cell r="A229" t="str">
            <v>00030264</v>
          </cell>
          <cell r="G229" t="str">
            <v>xiangzhaowh@126.com</v>
          </cell>
        </row>
        <row r="230">
          <cell r="A230" t="str">
            <v>00030275</v>
          </cell>
          <cell r="G230" t="str">
            <v>1210059216@qq.com</v>
          </cell>
        </row>
        <row r="231">
          <cell r="A231" t="str">
            <v>00030306</v>
          </cell>
          <cell r="G231" t="str">
            <v>609826700@qq.com</v>
          </cell>
        </row>
        <row r="232">
          <cell r="A232" t="str">
            <v>00030310</v>
          </cell>
          <cell r="G232" t="str">
            <v>44827568@qq.com</v>
          </cell>
        </row>
        <row r="233">
          <cell r="A233" t="str">
            <v>00030335</v>
          </cell>
          <cell r="G233" t="str">
            <v>juice@mail.ustc.edu.cn</v>
          </cell>
        </row>
        <row r="234">
          <cell r="A234" t="str">
            <v>00030340</v>
          </cell>
          <cell r="G234" t="str">
            <v>scz4@163.com</v>
          </cell>
        </row>
        <row r="235">
          <cell r="A235" t="str">
            <v>00030305</v>
          </cell>
          <cell r="G235" t="str">
            <v>376610048@qq.com</v>
          </cell>
        </row>
        <row r="236">
          <cell r="A236" t="str">
            <v>00030390</v>
          </cell>
          <cell r="G236" t="str">
            <v>275401420@qq.com</v>
          </cell>
        </row>
        <row r="237">
          <cell r="A237" t="str">
            <v>00011884</v>
          </cell>
          <cell r="G237" t="str">
            <v>644349792@qq.com</v>
          </cell>
        </row>
        <row r="238">
          <cell r="A238" t="str">
            <v>00030451</v>
          </cell>
          <cell r="G238" t="str">
            <v>18208530@qq.com</v>
          </cell>
        </row>
        <row r="239">
          <cell r="A239" t="str">
            <v>00009705</v>
          </cell>
          <cell r="G239" t="str">
            <v>15114982@qq.com</v>
          </cell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242"/>
  <sheetViews>
    <sheetView tabSelected="1" topLeftCell="Y1" zoomScaleNormal="100" workbookViewId="0">
      <selection activeCell="AR206" sqref="AR1:AR1048576"/>
    </sheetView>
  </sheetViews>
  <sheetFormatPr defaultRowHeight="13.5"/>
  <cols>
    <col min="4" max="4" width="9" style="14"/>
    <col min="39" max="39" width="9.5" style="14" bestFit="1" customWidth="1"/>
    <col min="40" max="40" width="9" style="14"/>
    <col min="43" max="43" width="10.5" customWidth="1"/>
    <col min="44" max="44" width="17.625" customWidth="1"/>
  </cols>
  <sheetData>
    <row r="1" spans="1:44" ht="55.5" customHeight="1">
      <c r="A1" s="19" t="s">
        <v>522</v>
      </c>
      <c r="B1" t="s">
        <v>524</v>
      </c>
      <c r="C1" s="19" t="s">
        <v>523</v>
      </c>
      <c r="D1" s="14" t="s">
        <v>525</v>
      </c>
      <c r="E1" s="19" t="s">
        <v>526</v>
      </c>
      <c r="F1">
        <v>8</v>
      </c>
    </row>
    <row r="3" spans="1:44" ht="14.25" thickBot="1"/>
    <row r="4" spans="1:44">
      <c r="A4" s="1" t="s">
        <v>0</v>
      </c>
      <c r="B4" s="2" t="s">
        <v>1</v>
      </c>
      <c r="C4" s="2" t="s">
        <v>2</v>
      </c>
      <c r="D4" s="16" t="s">
        <v>3</v>
      </c>
      <c r="E4" s="2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  <c r="M4" s="3" t="s">
        <v>12</v>
      </c>
      <c r="N4" s="3" t="s">
        <v>13</v>
      </c>
      <c r="O4" s="3" t="s">
        <v>14</v>
      </c>
      <c r="P4" s="3" t="s">
        <v>15</v>
      </c>
      <c r="Q4" s="3" t="s">
        <v>16</v>
      </c>
      <c r="R4" s="3" t="s">
        <v>17</v>
      </c>
      <c r="S4" s="3" t="s">
        <v>18</v>
      </c>
      <c r="T4" s="3" t="s">
        <v>19</v>
      </c>
      <c r="U4" s="3" t="s">
        <v>20</v>
      </c>
      <c r="V4" s="3" t="s">
        <v>21</v>
      </c>
      <c r="W4" s="3" t="s">
        <v>22</v>
      </c>
      <c r="X4" s="3" t="s">
        <v>23</v>
      </c>
      <c r="Y4" s="3" t="s">
        <v>24</v>
      </c>
      <c r="Z4" s="3" t="s">
        <v>25</v>
      </c>
      <c r="AA4" s="3" t="s">
        <v>26</v>
      </c>
      <c r="AB4" s="3" t="s">
        <v>27</v>
      </c>
      <c r="AC4" s="3" t="s">
        <v>28</v>
      </c>
      <c r="AD4" s="3" t="s">
        <v>29</v>
      </c>
      <c r="AE4" s="3" t="s">
        <v>30</v>
      </c>
      <c r="AF4" s="3" t="s">
        <v>31</v>
      </c>
      <c r="AG4" s="3" t="s">
        <v>32</v>
      </c>
      <c r="AH4" s="3" t="s">
        <v>33</v>
      </c>
      <c r="AI4" s="3" t="s">
        <v>34</v>
      </c>
      <c r="AJ4" s="3" t="s">
        <v>35</v>
      </c>
      <c r="AK4" s="3" t="s">
        <v>36</v>
      </c>
      <c r="AL4" s="4" t="s">
        <v>37</v>
      </c>
      <c r="AM4" s="15" t="s">
        <v>515</v>
      </c>
      <c r="AN4" s="15" t="s">
        <v>516</v>
      </c>
      <c r="AO4" s="13" t="s">
        <v>517</v>
      </c>
      <c r="AP4" s="13" t="s">
        <v>518</v>
      </c>
      <c r="AQ4" s="13" t="s">
        <v>519</v>
      </c>
      <c r="AR4" s="13" t="s">
        <v>520</v>
      </c>
    </row>
    <row r="5" spans="1:44">
      <c r="A5" s="5" t="s">
        <v>38</v>
      </c>
      <c r="B5" s="6" t="s">
        <v>39</v>
      </c>
      <c r="C5" s="6" t="s">
        <v>40</v>
      </c>
      <c r="D5" s="17" t="s">
        <v>521</v>
      </c>
      <c r="E5" s="6" t="s">
        <v>41</v>
      </c>
      <c r="F5" s="7">
        <v>930</v>
      </c>
      <c r="G5" s="7">
        <v>417</v>
      </c>
      <c r="H5" s="7">
        <v>2376</v>
      </c>
      <c r="I5" s="7">
        <v>56</v>
      </c>
      <c r="J5" s="7">
        <v>0</v>
      </c>
      <c r="K5" s="7">
        <v>0</v>
      </c>
      <c r="L5" s="7">
        <v>33.68</v>
      </c>
      <c r="M5" s="7">
        <v>0</v>
      </c>
      <c r="N5" s="7">
        <v>0</v>
      </c>
      <c r="O5" s="7">
        <v>0</v>
      </c>
      <c r="P5" s="7">
        <v>5</v>
      </c>
      <c r="Q5" s="7">
        <v>0</v>
      </c>
      <c r="R5" s="7">
        <v>0</v>
      </c>
      <c r="S5" s="7">
        <v>0</v>
      </c>
      <c r="T5" s="7">
        <v>3817.68</v>
      </c>
      <c r="U5" s="7">
        <v>36</v>
      </c>
      <c r="V5" s="7">
        <v>0</v>
      </c>
      <c r="W5" s="7">
        <v>45.22</v>
      </c>
      <c r="X5" s="7">
        <v>13.47</v>
      </c>
      <c r="Y5" s="7">
        <v>0</v>
      </c>
      <c r="Z5" s="7">
        <v>4.6500000000000004</v>
      </c>
      <c r="AA5" s="7">
        <v>0</v>
      </c>
      <c r="AB5" s="7">
        <v>0</v>
      </c>
      <c r="AC5" s="7">
        <v>0</v>
      </c>
      <c r="AD5" s="7">
        <v>0</v>
      </c>
      <c r="AE5" s="7">
        <v>747</v>
      </c>
      <c r="AF5" s="7">
        <v>0</v>
      </c>
      <c r="AG5" s="7">
        <v>0</v>
      </c>
      <c r="AH5" s="7">
        <v>846.34</v>
      </c>
      <c r="AI5" s="7">
        <v>2972.31</v>
      </c>
      <c r="AJ5" s="7">
        <v>0.97</v>
      </c>
      <c r="AK5" s="7">
        <v>0.31</v>
      </c>
      <c r="AL5" s="8">
        <v>2972</v>
      </c>
      <c r="AM5" s="14">
        <f>VLOOKUP(D5,[1]财务部报表_有人事号!$A$2:$D$400,3,0)</f>
        <v>1950</v>
      </c>
      <c r="AN5" s="14">
        <f>VLOOKUP(D5,[1]财务部报表_有人事号!$A$2:$E$400,4,0)</f>
        <v>44.06</v>
      </c>
      <c r="AR5" t="str">
        <f>LOOKUP(D5,[2]contacts!$A$2:$A$400,[2]contacts!$G$2:$G$400)</f>
        <v>xiehua@whu.edu.cn</v>
      </c>
    </row>
    <row r="6" spans="1:44">
      <c r="A6" s="5" t="s">
        <v>38</v>
      </c>
      <c r="B6" s="6" t="s">
        <v>39</v>
      </c>
      <c r="C6" s="6" t="s">
        <v>40</v>
      </c>
      <c r="D6" s="17" t="s">
        <v>42</v>
      </c>
      <c r="E6" s="6" t="s">
        <v>43</v>
      </c>
      <c r="F6" s="7">
        <v>930</v>
      </c>
      <c r="G6" s="7">
        <v>417</v>
      </c>
      <c r="H6" s="7">
        <v>2376</v>
      </c>
      <c r="I6" s="7">
        <v>56</v>
      </c>
      <c r="J6" s="7">
        <v>20</v>
      </c>
      <c r="K6" s="7">
        <v>0</v>
      </c>
      <c r="L6" s="7">
        <v>33.68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3832.68</v>
      </c>
      <c r="U6" s="7">
        <v>0</v>
      </c>
      <c r="V6" s="7">
        <v>248.9</v>
      </c>
      <c r="W6" s="7">
        <v>110.07</v>
      </c>
      <c r="X6" s="7">
        <v>13.47</v>
      </c>
      <c r="Y6" s="7">
        <v>0</v>
      </c>
      <c r="Z6" s="7">
        <v>4.6500000000000004</v>
      </c>
      <c r="AA6" s="7">
        <v>0</v>
      </c>
      <c r="AB6" s="7">
        <v>0</v>
      </c>
      <c r="AC6" s="7">
        <v>0</v>
      </c>
      <c r="AD6" s="7">
        <v>0</v>
      </c>
      <c r="AE6" s="7">
        <v>747</v>
      </c>
      <c r="AF6" s="7">
        <v>0</v>
      </c>
      <c r="AG6" s="7">
        <v>0</v>
      </c>
      <c r="AH6" s="7">
        <v>1124.0899999999999</v>
      </c>
      <c r="AI6" s="7">
        <v>2709.42</v>
      </c>
      <c r="AJ6" s="7">
        <v>0.83</v>
      </c>
      <c r="AK6" s="7">
        <v>0.42</v>
      </c>
      <c r="AL6" s="8">
        <v>2709</v>
      </c>
      <c r="AM6" s="14">
        <f>VLOOKUP(D6,[1]财务部报表_有人事号!$A$2:$D$400,3,0)</f>
        <v>1950</v>
      </c>
      <c r="AN6" s="14">
        <f>VLOOKUP(D6,[1]财务部报表_有人事号!$A$2:$E$400,4,0)</f>
        <v>44.66</v>
      </c>
      <c r="AR6" t="str">
        <f>LOOKUP(D6,[2]contacts!$A$2:$A$400,[2]contacts!$G$2:$G$400)</f>
        <v>yhzeng@whu.edu.cn</v>
      </c>
    </row>
    <row r="7" spans="1:44">
      <c r="A7" s="5" t="s">
        <v>38</v>
      </c>
      <c r="B7" s="6" t="s">
        <v>39</v>
      </c>
      <c r="C7" s="6" t="s">
        <v>40</v>
      </c>
      <c r="D7" s="17" t="s">
        <v>44</v>
      </c>
      <c r="E7" s="6" t="s">
        <v>45</v>
      </c>
      <c r="F7" s="7">
        <v>680</v>
      </c>
      <c r="G7" s="7">
        <v>391</v>
      </c>
      <c r="H7" s="7">
        <v>2065</v>
      </c>
      <c r="I7" s="7">
        <v>56</v>
      </c>
      <c r="J7" s="7">
        <v>20</v>
      </c>
      <c r="K7" s="7">
        <v>0</v>
      </c>
      <c r="L7" s="7">
        <v>26.78</v>
      </c>
      <c r="M7" s="7">
        <v>0</v>
      </c>
      <c r="N7" s="7">
        <v>0</v>
      </c>
      <c r="O7" s="7">
        <v>0</v>
      </c>
      <c r="P7" s="7">
        <v>5</v>
      </c>
      <c r="Q7" s="7">
        <v>0</v>
      </c>
      <c r="R7" s="7">
        <v>0</v>
      </c>
      <c r="S7" s="7">
        <v>0</v>
      </c>
      <c r="T7" s="7">
        <v>3243.78</v>
      </c>
      <c r="U7" s="7">
        <v>0</v>
      </c>
      <c r="V7" s="7">
        <v>0</v>
      </c>
      <c r="W7" s="7">
        <v>0</v>
      </c>
      <c r="X7" s="7">
        <v>10.71</v>
      </c>
      <c r="Y7" s="7">
        <v>0</v>
      </c>
      <c r="Z7" s="7">
        <v>3.4</v>
      </c>
      <c r="AA7" s="7">
        <v>0</v>
      </c>
      <c r="AB7" s="7">
        <v>0</v>
      </c>
      <c r="AC7" s="7">
        <v>0</v>
      </c>
      <c r="AD7" s="7">
        <v>0</v>
      </c>
      <c r="AE7" s="7">
        <v>627</v>
      </c>
      <c r="AF7" s="7">
        <v>0</v>
      </c>
      <c r="AG7" s="7">
        <v>0</v>
      </c>
      <c r="AH7" s="7">
        <v>641.11</v>
      </c>
      <c r="AI7" s="7">
        <v>2603.4</v>
      </c>
      <c r="AJ7" s="7">
        <v>0.73</v>
      </c>
      <c r="AK7" s="7">
        <v>0.4</v>
      </c>
      <c r="AL7" s="8">
        <v>2603</v>
      </c>
      <c r="AM7" s="14">
        <f>VLOOKUP(D7,[1]财务部报表_有人事号!$A$2:$D$400,3,0)</f>
        <v>1280</v>
      </c>
      <c r="AN7" s="14">
        <f>VLOOKUP(D7,[1]财务部报表_有人事号!$A$2:$E$400,4,0)</f>
        <v>10.63</v>
      </c>
      <c r="AR7" t="str">
        <f>LOOKUP(D7,[2]contacts!$A$2:$A$400,[2]contacts!$G$2:$G$400)</f>
        <v>fengxl1972@yahoo.com.cn</v>
      </c>
    </row>
    <row r="8" spans="1:44">
      <c r="A8" s="5" t="s">
        <v>38</v>
      </c>
      <c r="B8" s="6" t="s">
        <v>39</v>
      </c>
      <c r="C8" s="6" t="s">
        <v>40</v>
      </c>
      <c r="D8" s="17" t="s">
        <v>46</v>
      </c>
      <c r="E8" s="6" t="s">
        <v>47</v>
      </c>
      <c r="F8" s="7">
        <v>730</v>
      </c>
      <c r="G8" s="7">
        <v>527</v>
      </c>
      <c r="H8" s="7">
        <v>2102</v>
      </c>
      <c r="I8" s="7">
        <v>56</v>
      </c>
      <c r="J8" s="7">
        <v>0</v>
      </c>
      <c r="K8" s="7">
        <v>0</v>
      </c>
      <c r="L8" s="7">
        <v>31.43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3446.43</v>
      </c>
      <c r="U8" s="7">
        <v>0</v>
      </c>
      <c r="V8" s="7">
        <v>1022.2</v>
      </c>
      <c r="W8" s="7">
        <v>179.09</v>
      </c>
      <c r="X8" s="7">
        <v>12.57</v>
      </c>
      <c r="Y8" s="7">
        <v>0</v>
      </c>
      <c r="Z8" s="7">
        <v>3.65</v>
      </c>
      <c r="AA8" s="7">
        <v>0</v>
      </c>
      <c r="AB8" s="7">
        <v>0</v>
      </c>
      <c r="AC8" s="7">
        <v>0</v>
      </c>
      <c r="AD8" s="7">
        <v>0</v>
      </c>
      <c r="AE8" s="7">
        <v>679</v>
      </c>
      <c r="AF8" s="7">
        <v>0</v>
      </c>
      <c r="AG8" s="7">
        <v>0</v>
      </c>
      <c r="AH8" s="7">
        <v>1896.51</v>
      </c>
      <c r="AI8" s="7">
        <v>1550.02</v>
      </c>
      <c r="AJ8" s="7">
        <v>0.1</v>
      </c>
      <c r="AK8" s="7">
        <v>0.02</v>
      </c>
      <c r="AL8" s="8">
        <v>1550</v>
      </c>
      <c r="AM8" s="14">
        <f>VLOOKUP(D8,[1]财务部报表_有人事号!$A$2:$D$400,3,0)</f>
        <v>1430</v>
      </c>
      <c r="AN8" s="14">
        <f>VLOOKUP(D8,[1]财务部报表_有人事号!$A$2:$E$400,4,0)</f>
        <v>19.600000000000001</v>
      </c>
      <c r="AR8" t="str">
        <f>LOOKUP(D8,[2]contacts!$A$2:$A$400,[2]contacts!$G$2:$G$400)</f>
        <v>liyc@whu.edu.cn</v>
      </c>
    </row>
    <row r="9" spans="1:44">
      <c r="A9" s="5" t="s">
        <v>38</v>
      </c>
      <c r="B9" s="6" t="s">
        <v>39</v>
      </c>
      <c r="C9" s="6" t="s">
        <v>40</v>
      </c>
      <c r="D9" s="17" t="s">
        <v>48</v>
      </c>
      <c r="E9" s="6" t="s">
        <v>49</v>
      </c>
      <c r="F9" s="7">
        <v>1420</v>
      </c>
      <c r="G9" s="7">
        <v>583</v>
      </c>
      <c r="H9" s="7">
        <v>2779</v>
      </c>
      <c r="I9" s="7">
        <v>56</v>
      </c>
      <c r="J9" s="7">
        <v>0</v>
      </c>
      <c r="K9" s="7">
        <v>0</v>
      </c>
      <c r="L9" s="7">
        <v>50.08</v>
      </c>
      <c r="M9" s="7">
        <v>0</v>
      </c>
      <c r="N9" s="7">
        <v>0</v>
      </c>
      <c r="O9" s="7">
        <v>0</v>
      </c>
      <c r="P9" s="7">
        <v>5</v>
      </c>
      <c r="Q9" s="7">
        <v>0</v>
      </c>
      <c r="R9" s="7">
        <v>0</v>
      </c>
      <c r="S9" s="7">
        <v>0</v>
      </c>
      <c r="T9" s="7">
        <v>4893.08</v>
      </c>
      <c r="U9" s="7">
        <v>340</v>
      </c>
      <c r="V9" s="7">
        <v>0</v>
      </c>
      <c r="W9" s="7">
        <v>11.3</v>
      </c>
      <c r="X9" s="7">
        <v>20.03</v>
      </c>
      <c r="Y9" s="7">
        <v>10.38</v>
      </c>
      <c r="Z9" s="7">
        <v>7.1</v>
      </c>
      <c r="AA9" s="7">
        <v>0</v>
      </c>
      <c r="AB9" s="7">
        <v>0</v>
      </c>
      <c r="AC9" s="7">
        <v>0</v>
      </c>
      <c r="AD9" s="7">
        <v>0</v>
      </c>
      <c r="AE9" s="7">
        <v>972</v>
      </c>
      <c r="AF9" s="7">
        <v>0</v>
      </c>
      <c r="AG9" s="7">
        <v>0</v>
      </c>
      <c r="AH9" s="7">
        <v>1360.81</v>
      </c>
      <c r="AI9" s="7">
        <v>3533</v>
      </c>
      <c r="AJ9" s="7">
        <v>0.73</v>
      </c>
      <c r="AK9" s="7">
        <v>0</v>
      </c>
      <c r="AL9" s="8">
        <v>3533</v>
      </c>
      <c r="AM9" s="14">
        <f>VLOOKUP(D9,[1]财务部报表_有人事号!$A$2:$D$400,3,0)</f>
        <v>3350</v>
      </c>
      <c r="AN9" s="14">
        <f>VLOOKUP(D9,[1]财务部报表_有人事号!$A$2:$E$400,4,0)</f>
        <v>254.22000000000003</v>
      </c>
      <c r="AR9" t="str">
        <f>LOOKUP(D9,[2]contacts!$A$2:$A$400,[2]contacts!$G$2:$G$400)</f>
        <v>wwangkang@163.com</v>
      </c>
    </row>
    <row r="10" spans="1:44">
      <c r="A10" s="5" t="s">
        <v>38</v>
      </c>
      <c r="B10" s="6" t="s">
        <v>39</v>
      </c>
      <c r="C10" s="6" t="s">
        <v>40</v>
      </c>
      <c r="D10" s="17" t="s">
        <v>50</v>
      </c>
      <c r="E10" s="6" t="s">
        <v>51</v>
      </c>
      <c r="F10" s="7">
        <v>930</v>
      </c>
      <c r="G10" s="7">
        <v>443</v>
      </c>
      <c r="H10" s="7">
        <v>2376</v>
      </c>
      <c r="I10" s="7">
        <v>56</v>
      </c>
      <c r="J10" s="7">
        <v>0</v>
      </c>
      <c r="K10" s="7">
        <v>0</v>
      </c>
      <c r="L10" s="7">
        <v>34.33</v>
      </c>
      <c r="M10" s="7">
        <v>0</v>
      </c>
      <c r="N10" s="7">
        <v>0</v>
      </c>
      <c r="O10" s="7">
        <v>0</v>
      </c>
      <c r="P10" s="7">
        <v>5</v>
      </c>
      <c r="Q10" s="7">
        <v>0</v>
      </c>
      <c r="R10" s="7">
        <v>0</v>
      </c>
      <c r="S10" s="7">
        <v>0</v>
      </c>
      <c r="T10" s="7">
        <v>3844.33</v>
      </c>
      <c r="U10" s="7">
        <v>240</v>
      </c>
      <c r="V10" s="7">
        <v>0</v>
      </c>
      <c r="W10" s="7">
        <v>0</v>
      </c>
      <c r="X10" s="7">
        <v>13.73</v>
      </c>
      <c r="Y10" s="7">
        <v>0</v>
      </c>
      <c r="Z10" s="7">
        <v>4.6500000000000004</v>
      </c>
      <c r="AA10" s="7">
        <v>0</v>
      </c>
      <c r="AB10" s="7">
        <v>0</v>
      </c>
      <c r="AC10" s="7">
        <v>0</v>
      </c>
      <c r="AD10" s="7">
        <v>0</v>
      </c>
      <c r="AE10" s="7">
        <v>754</v>
      </c>
      <c r="AF10" s="7">
        <v>0</v>
      </c>
      <c r="AG10" s="7">
        <v>0</v>
      </c>
      <c r="AH10" s="7">
        <v>1012.38</v>
      </c>
      <c r="AI10" s="7">
        <v>2832.04</v>
      </c>
      <c r="AJ10" s="7">
        <v>0.09</v>
      </c>
      <c r="AK10" s="7">
        <v>0.04</v>
      </c>
      <c r="AL10" s="8">
        <v>2832</v>
      </c>
      <c r="AM10" s="14">
        <f>VLOOKUP(D10,[1]财务部报表_有人事号!$A$2:$D$400,3,0)</f>
        <v>1950</v>
      </c>
      <c r="AN10" s="14">
        <f>VLOOKUP(D10,[1]财务部报表_有人事号!$A$2:$E$400,4,0)</f>
        <v>44.62</v>
      </c>
      <c r="AR10" t="str">
        <f>LOOKUP(D10,[2]contacts!$A$2:$A$400,[2]contacts!$G$2:$G$400)</f>
        <v>djywh@263.net</v>
      </c>
    </row>
    <row r="11" spans="1:44">
      <c r="A11" s="5" t="s">
        <v>38</v>
      </c>
      <c r="B11" s="6" t="s">
        <v>39</v>
      </c>
      <c r="C11" s="6" t="s">
        <v>40</v>
      </c>
      <c r="D11" s="17" t="s">
        <v>52</v>
      </c>
      <c r="E11" s="6" t="s">
        <v>53</v>
      </c>
      <c r="F11" s="7">
        <v>680</v>
      </c>
      <c r="G11" s="7">
        <v>341</v>
      </c>
      <c r="H11" s="7">
        <v>2065</v>
      </c>
      <c r="I11" s="7">
        <v>56</v>
      </c>
      <c r="J11" s="7">
        <v>20</v>
      </c>
      <c r="K11" s="7">
        <v>0</v>
      </c>
      <c r="L11" s="7">
        <v>25.53</v>
      </c>
      <c r="M11" s="7">
        <v>0</v>
      </c>
      <c r="N11" s="7">
        <v>0</v>
      </c>
      <c r="O11" s="7">
        <v>0</v>
      </c>
      <c r="P11" s="7">
        <v>5</v>
      </c>
      <c r="Q11" s="7">
        <v>0</v>
      </c>
      <c r="R11" s="7">
        <v>0</v>
      </c>
      <c r="S11" s="7">
        <v>0</v>
      </c>
      <c r="T11" s="7">
        <v>3192.53</v>
      </c>
      <c r="U11" s="7">
        <v>46</v>
      </c>
      <c r="V11" s="7">
        <v>0</v>
      </c>
      <c r="W11" s="7">
        <v>279.64999999999998</v>
      </c>
      <c r="X11" s="7">
        <v>10.210000000000001</v>
      </c>
      <c r="Y11" s="7">
        <v>0</v>
      </c>
      <c r="Z11" s="7">
        <v>3.4</v>
      </c>
      <c r="AA11" s="7">
        <v>0</v>
      </c>
      <c r="AB11" s="7">
        <v>0</v>
      </c>
      <c r="AC11" s="7">
        <v>0</v>
      </c>
      <c r="AD11" s="7">
        <v>0</v>
      </c>
      <c r="AE11" s="7">
        <v>614</v>
      </c>
      <c r="AF11" s="7">
        <v>0</v>
      </c>
      <c r="AG11" s="7">
        <v>0</v>
      </c>
      <c r="AH11" s="7">
        <v>953.26</v>
      </c>
      <c r="AI11" s="7">
        <v>2240.15</v>
      </c>
      <c r="AJ11" s="7">
        <v>0.88</v>
      </c>
      <c r="AK11" s="7">
        <v>0.15</v>
      </c>
      <c r="AL11" s="8">
        <v>2240</v>
      </c>
      <c r="AM11" s="14">
        <f>VLOOKUP(D11,[1]财务部报表_有人事号!$A$2:$D$400,3,0)</f>
        <v>1280</v>
      </c>
      <c r="AN11" s="14">
        <f>VLOOKUP(D11,[1]财务部报表_有人事号!$A$2:$E$400,4,0)</f>
        <v>9.5299999999999994</v>
      </c>
      <c r="AR11" t="str">
        <f>LOOKUP(D11,[2]contacts!$A$2:$A$400,[2]contacts!$G$2:$G$400)</f>
        <v>xczhang@whu.edu.cn</v>
      </c>
    </row>
    <row r="12" spans="1:44">
      <c r="A12" s="5" t="s">
        <v>38</v>
      </c>
      <c r="B12" s="6" t="s">
        <v>39</v>
      </c>
      <c r="C12" s="6" t="s">
        <v>40</v>
      </c>
      <c r="D12" s="17" t="s">
        <v>54</v>
      </c>
      <c r="E12" s="6" t="s">
        <v>55</v>
      </c>
      <c r="F12" s="7">
        <v>930</v>
      </c>
      <c r="G12" s="7">
        <v>391</v>
      </c>
      <c r="H12" s="7">
        <v>2376</v>
      </c>
      <c r="I12" s="7">
        <v>56</v>
      </c>
      <c r="J12" s="7">
        <v>0</v>
      </c>
      <c r="K12" s="7">
        <v>0</v>
      </c>
      <c r="L12" s="7">
        <v>33.03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3786.03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3786.03</v>
      </c>
      <c r="AD12" s="7">
        <v>0</v>
      </c>
      <c r="AE12" s="7">
        <v>0</v>
      </c>
      <c r="AF12" s="7">
        <v>0</v>
      </c>
      <c r="AG12" s="7">
        <v>0</v>
      </c>
      <c r="AH12" s="7">
        <v>3786.03</v>
      </c>
      <c r="AI12" s="7">
        <v>0.25</v>
      </c>
      <c r="AJ12" s="7">
        <v>0.25</v>
      </c>
      <c r="AK12" s="7">
        <v>0.25</v>
      </c>
      <c r="AL12" s="8">
        <v>0</v>
      </c>
      <c r="AM12" s="14">
        <f>VLOOKUP(D12,[1]财务部报表_有人事号!$A$2:$D$400,3,0)</f>
        <v>1950</v>
      </c>
      <c r="AN12" s="14">
        <f>VLOOKUP(D12,[1]财务部报表_有人事号!$A$2:$E$400,4,0)</f>
        <v>0</v>
      </c>
      <c r="AR12" t="str">
        <f>LOOKUP(D12,[2]contacts!$A$2:$A$400,[2]contacts!$G$2:$G$400)</f>
        <v>hapland@163.com</v>
      </c>
    </row>
    <row r="13" spans="1:44">
      <c r="A13" s="5" t="s">
        <v>38</v>
      </c>
      <c r="B13" s="6" t="s">
        <v>39</v>
      </c>
      <c r="C13" s="6" t="s">
        <v>40</v>
      </c>
      <c r="D13" s="17" t="s">
        <v>56</v>
      </c>
      <c r="E13" s="6" t="s">
        <v>57</v>
      </c>
      <c r="F13" s="7">
        <v>930</v>
      </c>
      <c r="G13" s="7">
        <v>417</v>
      </c>
      <c r="H13" s="7">
        <v>2376</v>
      </c>
      <c r="I13" s="7">
        <v>56</v>
      </c>
      <c r="J13" s="7">
        <v>0</v>
      </c>
      <c r="K13" s="7">
        <v>0</v>
      </c>
      <c r="L13" s="7">
        <v>33.68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3812.68</v>
      </c>
      <c r="U13" s="7">
        <v>0</v>
      </c>
      <c r="V13" s="7">
        <v>0</v>
      </c>
      <c r="W13" s="7">
        <v>179.69</v>
      </c>
      <c r="X13" s="7">
        <v>13.47</v>
      </c>
      <c r="Y13" s="7">
        <v>0</v>
      </c>
      <c r="Z13" s="7">
        <v>4.6500000000000004</v>
      </c>
      <c r="AA13" s="7">
        <v>0</v>
      </c>
      <c r="AB13" s="7">
        <v>0</v>
      </c>
      <c r="AC13" s="7">
        <v>0</v>
      </c>
      <c r="AD13" s="7">
        <v>0</v>
      </c>
      <c r="AE13" s="7">
        <v>747</v>
      </c>
      <c r="AF13" s="7">
        <v>0</v>
      </c>
      <c r="AG13" s="7">
        <v>0</v>
      </c>
      <c r="AH13" s="7">
        <v>944.81</v>
      </c>
      <c r="AI13" s="7">
        <v>2867.97</v>
      </c>
      <c r="AJ13" s="7">
        <v>0.1</v>
      </c>
      <c r="AK13" s="7">
        <v>0.97</v>
      </c>
      <c r="AL13" s="8">
        <v>2867</v>
      </c>
      <c r="AM13" s="14">
        <f>VLOOKUP(D13,[1]财务部报表_有人事号!$A$2:$D$400,3,0)</f>
        <v>1950</v>
      </c>
      <c r="AN13" s="14">
        <f>VLOOKUP(D13,[1]财务部报表_有人事号!$A$2:$E$400,4,0)</f>
        <v>44.06</v>
      </c>
      <c r="AR13" t="str">
        <f>LOOKUP(D13,[2]contacts!$A$2:$A$400,[2]contacts!$G$2:$G$400)</f>
        <v>yzh@whu.edu.cn</v>
      </c>
    </row>
    <row r="14" spans="1:44">
      <c r="A14" s="5" t="s">
        <v>38</v>
      </c>
      <c r="B14" s="6" t="s">
        <v>39</v>
      </c>
      <c r="C14" s="6" t="s">
        <v>40</v>
      </c>
      <c r="D14" s="17" t="s">
        <v>58</v>
      </c>
      <c r="E14" s="6" t="s">
        <v>59</v>
      </c>
      <c r="F14" s="7">
        <v>1420</v>
      </c>
      <c r="G14" s="7">
        <v>613</v>
      </c>
      <c r="H14" s="7">
        <v>2779</v>
      </c>
      <c r="I14" s="7">
        <v>56</v>
      </c>
      <c r="J14" s="7">
        <v>0</v>
      </c>
      <c r="K14" s="7">
        <v>0</v>
      </c>
      <c r="L14" s="7">
        <v>50.83</v>
      </c>
      <c r="M14" s="7">
        <v>0</v>
      </c>
      <c r="N14" s="7">
        <v>0</v>
      </c>
      <c r="O14" s="7">
        <v>0</v>
      </c>
      <c r="P14" s="7">
        <v>5</v>
      </c>
      <c r="Q14" s="7">
        <v>0</v>
      </c>
      <c r="R14" s="7">
        <v>0</v>
      </c>
      <c r="S14" s="7">
        <v>0</v>
      </c>
      <c r="T14" s="7">
        <v>4923.83</v>
      </c>
      <c r="U14" s="7">
        <v>0</v>
      </c>
      <c r="V14" s="7">
        <v>0</v>
      </c>
      <c r="W14" s="7">
        <v>0</v>
      </c>
      <c r="X14" s="7">
        <v>20.329999999999998</v>
      </c>
      <c r="Y14" s="7">
        <v>11.03</v>
      </c>
      <c r="Z14" s="7">
        <v>7.1</v>
      </c>
      <c r="AA14" s="7">
        <v>0</v>
      </c>
      <c r="AB14" s="7">
        <v>0</v>
      </c>
      <c r="AC14" s="7">
        <v>0</v>
      </c>
      <c r="AD14" s="7">
        <v>0</v>
      </c>
      <c r="AE14" s="7">
        <v>980</v>
      </c>
      <c r="AF14" s="7">
        <v>0</v>
      </c>
      <c r="AG14" s="7">
        <v>0</v>
      </c>
      <c r="AH14" s="7">
        <v>1018.46</v>
      </c>
      <c r="AI14" s="7">
        <v>3906.22</v>
      </c>
      <c r="AJ14" s="7">
        <v>0.85</v>
      </c>
      <c r="AK14" s="7">
        <v>0.22</v>
      </c>
      <c r="AL14" s="8">
        <v>3906</v>
      </c>
      <c r="AM14" s="14">
        <f>VLOOKUP(D14,[1]财务部报表_有人事号!$A$2:$D$400,3,0)</f>
        <v>5000</v>
      </c>
      <c r="AN14" s="14">
        <f>VLOOKUP(D14,[1]财务部报表_有人事号!$A$2:$E$400,4,0)</f>
        <v>507.5</v>
      </c>
      <c r="AR14" t="str">
        <f>LOOKUP(D14,[2]contacts!$A$2:$A$400,[2]contacts!$G$2:$G$400)</f>
        <v>zdqian@whu.edu.cn</v>
      </c>
    </row>
    <row r="15" spans="1:44">
      <c r="A15" s="5" t="s">
        <v>38</v>
      </c>
      <c r="B15" s="6" t="s">
        <v>39</v>
      </c>
      <c r="C15" s="6" t="s">
        <v>40</v>
      </c>
      <c r="D15" s="17" t="s">
        <v>60</v>
      </c>
      <c r="E15" s="6" t="s">
        <v>61</v>
      </c>
      <c r="F15" s="7">
        <v>1900</v>
      </c>
      <c r="G15" s="7">
        <v>1154</v>
      </c>
      <c r="H15" s="7">
        <v>3108</v>
      </c>
      <c r="I15" s="7">
        <v>56</v>
      </c>
      <c r="J15" s="7">
        <v>0</v>
      </c>
      <c r="K15" s="7">
        <v>0</v>
      </c>
      <c r="L15" s="7">
        <v>76.349999999999994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6294.35</v>
      </c>
      <c r="U15" s="7">
        <v>0</v>
      </c>
      <c r="V15" s="7">
        <v>0</v>
      </c>
      <c r="W15" s="7">
        <v>0</v>
      </c>
      <c r="X15" s="7">
        <v>30.54</v>
      </c>
      <c r="Y15" s="7">
        <v>41.74</v>
      </c>
      <c r="Z15" s="7">
        <v>9.5</v>
      </c>
      <c r="AA15" s="7">
        <v>0</v>
      </c>
      <c r="AB15" s="7">
        <v>0</v>
      </c>
      <c r="AC15" s="7">
        <v>0</v>
      </c>
      <c r="AD15" s="7">
        <v>0</v>
      </c>
      <c r="AE15" s="7">
        <v>1296</v>
      </c>
      <c r="AF15" s="7">
        <v>0</v>
      </c>
      <c r="AG15" s="7">
        <v>0</v>
      </c>
      <c r="AH15" s="7">
        <v>1377.78</v>
      </c>
      <c r="AI15" s="7">
        <v>4916.8</v>
      </c>
      <c r="AJ15" s="7">
        <v>0.23</v>
      </c>
      <c r="AK15" s="7">
        <v>0.8</v>
      </c>
      <c r="AL15" s="8">
        <v>4916</v>
      </c>
      <c r="AM15" s="14">
        <f>VLOOKUP(D15,[1]财务部报表_有人事号!$A$2:$D$400,3,0)</f>
        <v>4950</v>
      </c>
      <c r="AN15" s="14">
        <f>VLOOKUP(D15,[1]财务部报表_有人事号!$A$2:$E$400,4,0)</f>
        <v>671.55</v>
      </c>
      <c r="AR15" t="str">
        <f>LOOKUP(D15,[2]contacts!$A$2:$A$400,[2]contacts!$G$2:$G$400)</f>
        <v>zxcao@whu.edu.cn</v>
      </c>
    </row>
    <row r="16" spans="1:44">
      <c r="A16" s="5" t="s">
        <v>38</v>
      </c>
      <c r="B16" s="6" t="s">
        <v>39</v>
      </c>
      <c r="C16" s="6" t="s">
        <v>40</v>
      </c>
      <c r="D16" s="17" t="s">
        <v>62</v>
      </c>
      <c r="E16" s="6" t="s">
        <v>63</v>
      </c>
      <c r="F16" s="7">
        <v>1420</v>
      </c>
      <c r="G16" s="7">
        <v>613</v>
      </c>
      <c r="H16" s="7">
        <v>2779</v>
      </c>
      <c r="I16" s="7">
        <v>56</v>
      </c>
      <c r="J16" s="7">
        <v>0</v>
      </c>
      <c r="K16" s="7">
        <v>0</v>
      </c>
      <c r="L16" s="7">
        <v>50.83</v>
      </c>
      <c r="M16" s="7">
        <v>0</v>
      </c>
      <c r="N16" s="7">
        <v>0</v>
      </c>
      <c r="O16" s="7">
        <v>0</v>
      </c>
      <c r="P16" s="7">
        <v>5</v>
      </c>
      <c r="Q16" s="7">
        <v>0</v>
      </c>
      <c r="R16" s="7">
        <v>0</v>
      </c>
      <c r="S16" s="7">
        <v>0</v>
      </c>
      <c r="T16" s="7">
        <v>4923.83</v>
      </c>
      <c r="U16" s="7">
        <v>0</v>
      </c>
      <c r="V16" s="7">
        <v>0</v>
      </c>
      <c r="W16" s="7">
        <v>0</v>
      </c>
      <c r="X16" s="7">
        <v>20.329999999999998</v>
      </c>
      <c r="Y16" s="7">
        <v>11.03</v>
      </c>
      <c r="Z16" s="7">
        <v>7.1</v>
      </c>
      <c r="AA16" s="7">
        <v>0</v>
      </c>
      <c r="AB16" s="7">
        <v>0</v>
      </c>
      <c r="AC16" s="7">
        <v>0</v>
      </c>
      <c r="AD16" s="7">
        <v>0</v>
      </c>
      <c r="AE16" s="7">
        <v>980</v>
      </c>
      <c r="AF16" s="7">
        <v>0</v>
      </c>
      <c r="AG16" s="7">
        <v>0</v>
      </c>
      <c r="AH16" s="7">
        <v>1018.46</v>
      </c>
      <c r="AI16" s="7">
        <v>3906.15</v>
      </c>
      <c r="AJ16" s="7">
        <v>0.78</v>
      </c>
      <c r="AK16" s="7">
        <v>0.15</v>
      </c>
      <c r="AL16" s="8">
        <v>3906</v>
      </c>
      <c r="AM16" s="14" t="e">
        <f>VLOOKUP(D16,[1]财务部报表_有人事号!$A$2:$D$400,3,0)</f>
        <v>#N/A</v>
      </c>
      <c r="AN16" s="14" t="e">
        <f>VLOOKUP(D16,[1]财务部报表_有人事号!$A$2:$E$400,4,0)</f>
        <v>#N/A</v>
      </c>
      <c r="AR16" t="str">
        <f>LOOKUP(D16,[2]contacts!$A$2:$A$400,[2]contacts!$G$2:$G$400)</f>
        <v>csyfchen@whu.edu.cn</v>
      </c>
    </row>
    <row r="17" spans="1:44">
      <c r="A17" s="5" t="s">
        <v>38</v>
      </c>
      <c r="B17" s="6" t="s">
        <v>39</v>
      </c>
      <c r="C17" s="6" t="s">
        <v>40</v>
      </c>
      <c r="D17" s="17" t="s">
        <v>64</v>
      </c>
      <c r="E17" s="6" t="s">
        <v>65</v>
      </c>
      <c r="F17" s="7">
        <v>930</v>
      </c>
      <c r="G17" s="7">
        <v>417</v>
      </c>
      <c r="H17" s="7">
        <v>2376</v>
      </c>
      <c r="I17" s="7">
        <v>56</v>
      </c>
      <c r="J17" s="7">
        <v>0</v>
      </c>
      <c r="K17" s="7">
        <v>0</v>
      </c>
      <c r="L17" s="7">
        <v>33.68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3812.68</v>
      </c>
      <c r="U17" s="7">
        <v>0</v>
      </c>
      <c r="V17" s="7">
        <v>0</v>
      </c>
      <c r="W17" s="7">
        <v>0</v>
      </c>
      <c r="X17" s="7">
        <v>13.47</v>
      </c>
      <c r="Y17" s="7">
        <v>0</v>
      </c>
      <c r="Z17" s="7">
        <v>4.6500000000000004</v>
      </c>
      <c r="AA17" s="7">
        <v>0</v>
      </c>
      <c r="AB17" s="7">
        <v>0</v>
      </c>
      <c r="AC17" s="7">
        <v>0</v>
      </c>
      <c r="AD17" s="7">
        <v>0</v>
      </c>
      <c r="AE17" s="7">
        <v>747</v>
      </c>
      <c r="AF17" s="7">
        <v>0</v>
      </c>
      <c r="AG17" s="7">
        <v>0</v>
      </c>
      <c r="AH17" s="7">
        <v>765.12</v>
      </c>
      <c r="AI17" s="7">
        <v>3047.68</v>
      </c>
      <c r="AJ17" s="7">
        <v>0.12</v>
      </c>
      <c r="AK17" s="7">
        <v>0.68</v>
      </c>
      <c r="AL17" s="8">
        <v>3047</v>
      </c>
      <c r="AM17" s="14">
        <f>VLOOKUP(D17,[1]财务部报表_有人事号!$A$2:$D$400,3,0)</f>
        <v>1950</v>
      </c>
      <c r="AN17" s="14">
        <f>VLOOKUP(D17,[1]财务部报表_有人事号!$A$2:$E$400,4,0)</f>
        <v>44.06</v>
      </c>
      <c r="AR17" t="str">
        <f>LOOKUP(D17,[2]contacts!$A$2:$A$400,[2]contacts!$G$2:$G$400)</f>
        <v>shrcao@whu.edu.cn</v>
      </c>
    </row>
    <row r="18" spans="1:44">
      <c r="A18" s="5" t="s">
        <v>38</v>
      </c>
      <c r="B18" s="6" t="s">
        <v>39</v>
      </c>
      <c r="C18" s="6" t="s">
        <v>40</v>
      </c>
      <c r="D18" s="17" t="s">
        <v>66</v>
      </c>
      <c r="E18" s="6" t="s">
        <v>67</v>
      </c>
      <c r="F18" s="7">
        <v>1420</v>
      </c>
      <c r="G18" s="7">
        <v>613</v>
      </c>
      <c r="H18" s="7">
        <v>2779</v>
      </c>
      <c r="I18" s="7">
        <v>56</v>
      </c>
      <c r="J18" s="7">
        <v>0</v>
      </c>
      <c r="K18" s="7">
        <v>0</v>
      </c>
      <c r="L18" s="7">
        <v>50.83</v>
      </c>
      <c r="M18" s="7">
        <v>0</v>
      </c>
      <c r="N18" s="7">
        <v>0</v>
      </c>
      <c r="O18" s="7">
        <v>0</v>
      </c>
      <c r="P18" s="7">
        <v>5</v>
      </c>
      <c r="Q18" s="7">
        <v>0</v>
      </c>
      <c r="R18" s="7">
        <v>0</v>
      </c>
      <c r="S18" s="7">
        <v>0</v>
      </c>
      <c r="T18" s="7">
        <v>4923.83</v>
      </c>
      <c r="U18" s="7">
        <v>240</v>
      </c>
      <c r="V18" s="7">
        <v>0</v>
      </c>
      <c r="W18" s="7">
        <v>70.8</v>
      </c>
      <c r="X18" s="7">
        <v>20.329999999999998</v>
      </c>
      <c r="Y18" s="7">
        <v>11.03</v>
      </c>
      <c r="Z18" s="7">
        <v>7.1</v>
      </c>
      <c r="AA18" s="7">
        <v>0</v>
      </c>
      <c r="AB18" s="7">
        <v>0</v>
      </c>
      <c r="AC18" s="7">
        <v>0</v>
      </c>
      <c r="AD18" s="7">
        <v>0</v>
      </c>
      <c r="AE18" s="7">
        <v>980</v>
      </c>
      <c r="AF18" s="7">
        <v>0</v>
      </c>
      <c r="AG18" s="7">
        <v>0</v>
      </c>
      <c r="AH18" s="7">
        <v>1329.26</v>
      </c>
      <c r="AI18" s="7">
        <v>3594.98</v>
      </c>
      <c r="AJ18" s="7">
        <v>0.41</v>
      </c>
      <c r="AK18" s="7">
        <v>0.98</v>
      </c>
      <c r="AL18" s="8">
        <v>3594</v>
      </c>
      <c r="AM18" s="14">
        <f>VLOOKUP(D18,[1]财务部报表_有人事号!$A$2:$D$400,3,0)</f>
        <v>6200</v>
      </c>
      <c r="AN18" s="14">
        <f>VLOOKUP(D18,[1]财务部报表_有人事号!$A$2:$E$400,4,0)</f>
        <v>747.5</v>
      </c>
      <c r="AR18" t="str">
        <f>LOOKUP(D18,[2]contacts!$A$2:$A$400,[2]contacts!$G$2:$G$400)</f>
        <v>zw_mxx@163.com</v>
      </c>
    </row>
    <row r="19" spans="1:44">
      <c r="A19" s="5" t="s">
        <v>38</v>
      </c>
      <c r="B19" s="6" t="s">
        <v>39</v>
      </c>
      <c r="C19" s="6" t="s">
        <v>40</v>
      </c>
      <c r="D19" s="17" t="s">
        <v>68</v>
      </c>
      <c r="E19" s="6" t="s">
        <v>69</v>
      </c>
      <c r="F19" s="7">
        <v>930</v>
      </c>
      <c r="G19" s="7">
        <v>417</v>
      </c>
      <c r="H19" s="7">
        <v>2376</v>
      </c>
      <c r="I19" s="7">
        <v>56</v>
      </c>
      <c r="J19" s="7">
        <v>0</v>
      </c>
      <c r="K19" s="7">
        <v>0</v>
      </c>
      <c r="L19" s="7">
        <v>33.68</v>
      </c>
      <c r="M19" s="7">
        <v>0</v>
      </c>
      <c r="N19" s="7">
        <v>0</v>
      </c>
      <c r="O19" s="7">
        <v>0</v>
      </c>
      <c r="P19" s="7">
        <v>5</v>
      </c>
      <c r="Q19" s="7">
        <v>0</v>
      </c>
      <c r="R19" s="7">
        <v>0</v>
      </c>
      <c r="S19" s="7">
        <v>0</v>
      </c>
      <c r="T19" s="7">
        <v>3817.68</v>
      </c>
      <c r="U19" s="7">
        <v>0</v>
      </c>
      <c r="V19" s="7">
        <v>0</v>
      </c>
      <c r="W19" s="7">
        <v>0</v>
      </c>
      <c r="X19" s="7">
        <v>13.47</v>
      </c>
      <c r="Y19" s="7">
        <v>0</v>
      </c>
      <c r="Z19" s="7">
        <v>4.6500000000000004</v>
      </c>
      <c r="AA19" s="7">
        <v>0</v>
      </c>
      <c r="AB19" s="7">
        <v>0</v>
      </c>
      <c r="AC19" s="7">
        <v>0</v>
      </c>
      <c r="AD19" s="7">
        <v>0</v>
      </c>
      <c r="AE19" s="7">
        <v>747</v>
      </c>
      <c r="AF19" s="7">
        <v>0</v>
      </c>
      <c r="AG19" s="7">
        <v>0</v>
      </c>
      <c r="AH19" s="7">
        <v>765.12</v>
      </c>
      <c r="AI19" s="7">
        <v>3052.62</v>
      </c>
      <c r="AJ19" s="7">
        <v>0.06</v>
      </c>
      <c r="AK19" s="7">
        <v>0.62</v>
      </c>
      <c r="AL19" s="8">
        <v>3052</v>
      </c>
      <c r="AM19" s="14">
        <f>VLOOKUP(D19,[1]财务部报表_有人事号!$A$2:$D$400,3,0)</f>
        <v>1950</v>
      </c>
      <c r="AN19" s="14">
        <f>VLOOKUP(D19,[1]财务部报表_有人事号!$A$2:$E$400,4,0)</f>
        <v>44.06</v>
      </c>
      <c r="AR19" t="str">
        <f>LOOKUP(D19,[2]contacts!$A$2:$A$400,[2]contacts!$G$2:$G$400)</f>
        <v>lnszh@126.com</v>
      </c>
    </row>
    <row r="20" spans="1:44">
      <c r="A20" s="5" t="s">
        <v>38</v>
      </c>
      <c r="B20" s="6" t="s">
        <v>39</v>
      </c>
      <c r="C20" s="6" t="s">
        <v>40</v>
      </c>
      <c r="D20" s="17" t="s">
        <v>70</v>
      </c>
      <c r="E20" s="6" t="s">
        <v>71</v>
      </c>
      <c r="F20" s="7">
        <v>680</v>
      </c>
      <c r="G20" s="7">
        <v>341</v>
      </c>
      <c r="H20" s="7">
        <v>2065</v>
      </c>
      <c r="I20" s="7">
        <v>56</v>
      </c>
      <c r="J20" s="7">
        <v>0</v>
      </c>
      <c r="K20" s="7">
        <v>0</v>
      </c>
      <c r="L20" s="7">
        <v>25.53</v>
      </c>
      <c r="M20" s="7">
        <v>0</v>
      </c>
      <c r="N20" s="7">
        <v>0</v>
      </c>
      <c r="O20" s="7">
        <v>0</v>
      </c>
      <c r="P20" s="7">
        <v>5</v>
      </c>
      <c r="Q20" s="7">
        <v>0</v>
      </c>
      <c r="R20" s="7">
        <v>0</v>
      </c>
      <c r="S20" s="7">
        <v>0</v>
      </c>
      <c r="T20" s="7">
        <v>3172.53</v>
      </c>
      <c r="U20" s="7">
        <v>0</v>
      </c>
      <c r="V20" s="7">
        <v>114</v>
      </c>
      <c r="W20" s="7">
        <v>411.88</v>
      </c>
      <c r="X20" s="7">
        <v>10.210000000000001</v>
      </c>
      <c r="Y20" s="7">
        <v>0</v>
      </c>
      <c r="Z20" s="7">
        <v>3.4</v>
      </c>
      <c r="AA20" s="7">
        <v>0</v>
      </c>
      <c r="AB20" s="7">
        <v>0</v>
      </c>
      <c r="AC20" s="7">
        <v>0</v>
      </c>
      <c r="AD20" s="7">
        <v>0</v>
      </c>
      <c r="AE20" s="7">
        <v>614</v>
      </c>
      <c r="AF20" s="7">
        <v>0</v>
      </c>
      <c r="AG20" s="7">
        <v>0</v>
      </c>
      <c r="AH20" s="7">
        <v>1153.49</v>
      </c>
      <c r="AI20" s="7">
        <v>2019.99</v>
      </c>
      <c r="AJ20" s="7">
        <v>0.95</v>
      </c>
      <c r="AK20" s="7">
        <v>0.99</v>
      </c>
      <c r="AL20" s="8">
        <v>2019</v>
      </c>
      <c r="AM20" s="14">
        <f>VLOOKUP(D20,[1]财务部报表_有人事号!$A$2:$D$400,3,0)</f>
        <v>1280</v>
      </c>
      <c r="AN20" s="14">
        <f>VLOOKUP(D20,[1]财务部报表_有人事号!$A$2:$E$400,4,0)</f>
        <v>8.93</v>
      </c>
      <c r="AR20" t="str">
        <f>LOOKUP(D20,[2]contacts!$A$2:$A$400,[2]contacts!$G$2:$G$400)</f>
        <v>liben1564@sina.com</v>
      </c>
    </row>
    <row r="21" spans="1:44">
      <c r="A21" s="5" t="s">
        <v>38</v>
      </c>
      <c r="B21" s="6" t="s">
        <v>39</v>
      </c>
      <c r="C21" s="6" t="s">
        <v>40</v>
      </c>
      <c r="D21" s="17" t="s">
        <v>72</v>
      </c>
      <c r="E21" s="6" t="s">
        <v>73</v>
      </c>
      <c r="F21" s="7">
        <v>930</v>
      </c>
      <c r="G21" s="7">
        <v>767</v>
      </c>
      <c r="H21" s="7">
        <v>2376</v>
      </c>
      <c r="I21" s="7">
        <v>56</v>
      </c>
      <c r="J21" s="7">
        <v>20</v>
      </c>
      <c r="K21" s="7">
        <v>0</v>
      </c>
      <c r="L21" s="7">
        <v>42.43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4191.43</v>
      </c>
      <c r="U21" s="7">
        <v>0</v>
      </c>
      <c r="V21" s="7">
        <v>0</v>
      </c>
      <c r="W21" s="7">
        <v>0</v>
      </c>
      <c r="X21" s="7">
        <v>16.97</v>
      </c>
      <c r="Y21" s="7">
        <v>0</v>
      </c>
      <c r="Z21" s="7">
        <v>4.6500000000000004</v>
      </c>
      <c r="AA21" s="7">
        <v>0</v>
      </c>
      <c r="AB21" s="7">
        <v>0</v>
      </c>
      <c r="AC21" s="7">
        <v>0</v>
      </c>
      <c r="AD21" s="7">
        <v>0</v>
      </c>
      <c r="AE21" s="7">
        <v>835</v>
      </c>
      <c r="AF21" s="7">
        <v>0</v>
      </c>
      <c r="AG21" s="7">
        <v>0</v>
      </c>
      <c r="AH21" s="7">
        <v>856.62</v>
      </c>
      <c r="AI21" s="7">
        <v>3335.06</v>
      </c>
      <c r="AJ21" s="7">
        <v>0.25</v>
      </c>
      <c r="AK21" s="7">
        <v>0.06</v>
      </c>
      <c r="AL21" s="8">
        <v>3335</v>
      </c>
      <c r="AM21" s="14">
        <f>VLOOKUP(D21,[1]财务部报表_有人事号!$A$2:$D$400,3,0)</f>
        <v>1950</v>
      </c>
      <c r="AN21" s="14">
        <f>VLOOKUP(D21,[1]财务部报表_有人事号!$A$2:$E$400,4,0)</f>
        <v>69.7</v>
      </c>
      <c r="AR21" t="str">
        <f>LOOKUP(D21,[2]contacts!$A$2:$A$400,[2]contacts!$G$2:$G$400)</f>
        <v>whusyq@163.com</v>
      </c>
    </row>
    <row r="22" spans="1:44">
      <c r="A22" s="5" t="s">
        <v>38</v>
      </c>
      <c r="B22" s="6" t="s">
        <v>39</v>
      </c>
      <c r="C22" s="6" t="s">
        <v>40</v>
      </c>
      <c r="D22" s="17" t="s">
        <v>74</v>
      </c>
      <c r="E22" s="6" t="s">
        <v>75</v>
      </c>
      <c r="F22" s="7">
        <v>930</v>
      </c>
      <c r="G22" s="7">
        <v>417</v>
      </c>
      <c r="H22" s="7">
        <v>2376</v>
      </c>
      <c r="I22" s="7">
        <v>56</v>
      </c>
      <c r="J22" s="7">
        <v>0</v>
      </c>
      <c r="K22" s="7">
        <v>0</v>
      </c>
      <c r="L22" s="7">
        <v>33.68</v>
      </c>
      <c r="M22" s="7">
        <v>0</v>
      </c>
      <c r="N22" s="7">
        <v>0</v>
      </c>
      <c r="O22" s="7">
        <v>0</v>
      </c>
      <c r="P22" s="7">
        <v>5</v>
      </c>
      <c r="Q22" s="7">
        <v>0</v>
      </c>
      <c r="R22" s="7">
        <v>0</v>
      </c>
      <c r="S22" s="7">
        <v>0</v>
      </c>
      <c r="T22" s="7">
        <v>3817.68</v>
      </c>
      <c r="U22" s="7">
        <v>580</v>
      </c>
      <c r="V22" s="7">
        <v>34.200000000000003</v>
      </c>
      <c r="W22" s="7">
        <v>51.77</v>
      </c>
      <c r="X22" s="7">
        <v>13.47</v>
      </c>
      <c r="Y22" s="7">
        <v>0</v>
      </c>
      <c r="Z22" s="7">
        <v>4.6500000000000004</v>
      </c>
      <c r="AA22" s="7">
        <v>0</v>
      </c>
      <c r="AB22" s="7">
        <v>0</v>
      </c>
      <c r="AC22" s="7">
        <v>0</v>
      </c>
      <c r="AD22" s="7">
        <v>0</v>
      </c>
      <c r="AE22" s="7">
        <v>747</v>
      </c>
      <c r="AF22" s="7">
        <v>0</v>
      </c>
      <c r="AG22" s="7">
        <v>0</v>
      </c>
      <c r="AH22" s="7">
        <v>1431.09</v>
      </c>
      <c r="AI22" s="7">
        <v>2387.11</v>
      </c>
      <c r="AJ22" s="7">
        <v>0.52</v>
      </c>
      <c r="AK22" s="7">
        <v>0.11</v>
      </c>
      <c r="AL22" s="8">
        <v>2387</v>
      </c>
      <c r="AM22" s="14">
        <f>VLOOKUP(D22,[1]财务部报表_有人事号!$A$2:$D$400,3,0)</f>
        <v>1950</v>
      </c>
      <c r="AN22" s="14">
        <f>VLOOKUP(D22,[1]财务部报表_有人事号!$A$2:$E$400,4,0)</f>
        <v>44.06</v>
      </c>
      <c r="AR22" t="str">
        <f>LOOKUP(D22,[2]contacts!$A$2:$A$400,[2]contacts!$G$2:$G$400)</f>
        <v>liupan@whu.edu.cn</v>
      </c>
    </row>
    <row r="23" spans="1:44">
      <c r="A23" s="5" t="s">
        <v>38</v>
      </c>
      <c r="B23" s="6" t="s">
        <v>39</v>
      </c>
      <c r="C23" s="6" t="s">
        <v>40</v>
      </c>
      <c r="D23" s="17" t="s">
        <v>76</v>
      </c>
      <c r="E23" s="6" t="s">
        <v>77</v>
      </c>
      <c r="F23" s="7">
        <v>730</v>
      </c>
      <c r="G23" s="7">
        <v>417</v>
      </c>
      <c r="H23" s="7">
        <v>2102</v>
      </c>
      <c r="I23" s="7">
        <v>56</v>
      </c>
      <c r="J23" s="7">
        <v>0</v>
      </c>
      <c r="K23" s="7">
        <v>0</v>
      </c>
      <c r="L23" s="7">
        <v>28.68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3333.68</v>
      </c>
      <c r="U23" s="7">
        <v>0</v>
      </c>
      <c r="V23" s="7">
        <v>0</v>
      </c>
      <c r="W23" s="7">
        <v>0</v>
      </c>
      <c r="X23" s="7">
        <v>11.47</v>
      </c>
      <c r="Y23" s="7">
        <v>0</v>
      </c>
      <c r="Z23" s="7">
        <v>3.65</v>
      </c>
      <c r="AA23" s="7">
        <v>0</v>
      </c>
      <c r="AB23" s="7">
        <v>0</v>
      </c>
      <c r="AC23" s="7">
        <v>0</v>
      </c>
      <c r="AD23" s="7">
        <v>0</v>
      </c>
      <c r="AE23" s="7">
        <v>652</v>
      </c>
      <c r="AF23" s="7">
        <v>0</v>
      </c>
      <c r="AG23" s="7">
        <v>0</v>
      </c>
      <c r="AH23" s="7">
        <v>667.12</v>
      </c>
      <c r="AI23" s="7">
        <v>2666.8</v>
      </c>
      <c r="AJ23" s="7">
        <v>0.24</v>
      </c>
      <c r="AK23" s="7">
        <v>0.8</v>
      </c>
      <c r="AL23" s="8">
        <v>2666</v>
      </c>
      <c r="AM23" s="14">
        <f>VLOOKUP(D23,[1]财务部报表_有人事号!$A$2:$D$400,3,0)</f>
        <v>1430</v>
      </c>
      <c r="AN23" s="14">
        <f>VLOOKUP(D23,[1]财务部报表_有人事号!$A$2:$E$400,4,0)</f>
        <v>17.149999999999999</v>
      </c>
      <c r="AR23" t="str">
        <f>LOOKUP(D23,[2]contacts!$A$2:$A$400,[2]contacts!$G$2:$G$400)</f>
        <v>lixp2004@163.com</v>
      </c>
    </row>
    <row r="24" spans="1:44">
      <c r="A24" s="5" t="s">
        <v>38</v>
      </c>
      <c r="B24" s="6" t="s">
        <v>39</v>
      </c>
      <c r="C24" s="6" t="s">
        <v>40</v>
      </c>
      <c r="D24" s="17" t="s">
        <v>78</v>
      </c>
      <c r="E24" s="6" t="s">
        <v>79</v>
      </c>
      <c r="F24" s="7">
        <v>680</v>
      </c>
      <c r="G24" s="7">
        <v>341</v>
      </c>
      <c r="H24" s="7">
        <v>2065</v>
      </c>
      <c r="I24" s="7">
        <v>56</v>
      </c>
      <c r="J24" s="7">
        <v>0</v>
      </c>
      <c r="K24" s="7">
        <v>0</v>
      </c>
      <c r="L24" s="7">
        <v>25.53</v>
      </c>
      <c r="M24" s="7">
        <v>0</v>
      </c>
      <c r="N24" s="7">
        <v>0</v>
      </c>
      <c r="O24" s="7">
        <v>0</v>
      </c>
      <c r="P24" s="7">
        <v>5</v>
      </c>
      <c r="Q24" s="7">
        <v>0</v>
      </c>
      <c r="R24" s="7">
        <v>0</v>
      </c>
      <c r="S24" s="7">
        <v>0</v>
      </c>
      <c r="T24" s="7">
        <v>3172.53</v>
      </c>
      <c r="U24" s="7">
        <v>100</v>
      </c>
      <c r="V24" s="7">
        <v>114</v>
      </c>
      <c r="W24" s="7">
        <v>77.349999999999994</v>
      </c>
      <c r="X24" s="7">
        <v>10.210000000000001</v>
      </c>
      <c r="Y24" s="7">
        <v>0</v>
      </c>
      <c r="Z24" s="7">
        <v>3.4</v>
      </c>
      <c r="AA24" s="7">
        <v>0</v>
      </c>
      <c r="AB24" s="7">
        <v>0</v>
      </c>
      <c r="AC24" s="7">
        <v>0</v>
      </c>
      <c r="AD24" s="7">
        <v>0</v>
      </c>
      <c r="AE24" s="7">
        <v>614</v>
      </c>
      <c r="AF24" s="7">
        <v>0</v>
      </c>
      <c r="AG24" s="7">
        <v>0</v>
      </c>
      <c r="AH24" s="7">
        <v>918.96</v>
      </c>
      <c r="AI24" s="7">
        <v>2254.08</v>
      </c>
      <c r="AJ24" s="7">
        <v>0.51</v>
      </c>
      <c r="AK24" s="7">
        <v>0.08</v>
      </c>
      <c r="AL24" s="8">
        <v>2254</v>
      </c>
      <c r="AM24" s="14">
        <f>VLOOKUP(D24,[1]财务部报表_有人事号!$A$2:$D$400,3,0)</f>
        <v>1280</v>
      </c>
      <c r="AN24" s="14">
        <f>VLOOKUP(D24,[1]财务部报表_有人事号!$A$2:$E$400,4,0)</f>
        <v>8.93</v>
      </c>
      <c r="AR24" t="str">
        <f>LOOKUP(D24,[2]contacts!$A$2:$A$400,[2]contacts!$G$2:$G$400)</f>
        <v>jyl1219fc@hotmail.com</v>
      </c>
    </row>
    <row r="25" spans="1:44">
      <c r="A25" s="5" t="s">
        <v>38</v>
      </c>
      <c r="B25" s="6" t="s">
        <v>39</v>
      </c>
      <c r="C25" s="6" t="s">
        <v>40</v>
      </c>
      <c r="D25" s="17" t="s">
        <v>80</v>
      </c>
      <c r="E25" s="6" t="s">
        <v>81</v>
      </c>
      <c r="F25" s="7">
        <v>590</v>
      </c>
      <c r="G25" s="7">
        <v>253</v>
      </c>
      <c r="H25" s="7">
        <v>1864</v>
      </c>
      <c r="I25" s="7">
        <v>56</v>
      </c>
      <c r="J25" s="7">
        <v>0</v>
      </c>
      <c r="K25" s="7">
        <v>0</v>
      </c>
      <c r="L25" s="7">
        <v>21.08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2784.08</v>
      </c>
      <c r="U25" s="7">
        <v>30</v>
      </c>
      <c r="V25" s="7">
        <v>114</v>
      </c>
      <c r="W25" s="7">
        <v>9.52</v>
      </c>
      <c r="X25" s="7">
        <v>8.43</v>
      </c>
      <c r="Y25" s="7">
        <v>0</v>
      </c>
      <c r="Z25" s="7">
        <v>2.95</v>
      </c>
      <c r="AA25" s="7">
        <v>0</v>
      </c>
      <c r="AB25" s="7">
        <v>0</v>
      </c>
      <c r="AC25" s="7">
        <v>0</v>
      </c>
      <c r="AD25" s="7">
        <v>0</v>
      </c>
      <c r="AE25" s="7">
        <v>536</v>
      </c>
      <c r="AF25" s="7">
        <v>0</v>
      </c>
      <c r="AG25" s="7">
        <v>0</v>
      </c>
      <c r="AH25" s="7">
        <v>700.9</v>
      </c>
      <c r="AI25" s="7">
        <v>2084.16</v>
      </c>
      <c r="AJ25" s="7">
        <v>0.98</v>
      </c>
      <c r="AK25" s="7">
        <v>0.16</v>
      </c>
      <c r="AL25" s="8">
        <v>2084</v>
      </c>
      <c r="AM25" s="14">
        <f>VLOOKUP(D25,[1]财务部报表_有人事号!$A$2:$D$400,3,0)</f>
        <v>1700</v>
      </c>
      <c r="AN25" s="14">
        <f>VLOOKUP(D25,[1]财务部报表_有人事号!$A$2:$E$400,4,0)</f>
        <v>12.56</v>
      </c>
      <c r="AR25" t="str">
        <f>LOOKUP(D25,[2]contacts!$A$2:$A$400,[2]contacts!$G$2:$G$400)</f>
        <v>LiKun@whu.edu.cn</v>
      </c>
    </row>
    <row r="26" spans="1:44">
      <c r="A26" s="5" t="s">
        <v>38</v>
      </c>
      <c r="B26" s="6" t="s">
        <v>39</v>
      </c>
      <c r="C26" s="6" t="s">
        <v>40</v>
      </c>
      <c r="D26" s="17" t="s">
        <v>82</v>
      </c>
      <c r="E26" s="6" t="s">
        <v>83</v>
      </c>
      <c r="F26" s="7">
        <v>1630</v>
      </c>
      <c r="G26" s="7">
        <v>643</v>
      </c>
      <c r="H26" s="7">
        <v>2961</v>
      </c>
      <c r="I26" s="7">
        <v>56</v>
      </c>
      <c r="J26" s="7">
        <v>0</v>
      </c>
      <c r="K26" s="7">
        <v>0</v>
      </c>
      <c r="L26" s="7">
        <v>56.83</v>
      </c>
      <c r="M26" s="7">
        <v>0</v>
      </c>
      <c r="N26" s="7">
        <v>0</v>
      </c>
      <c r="O26" s="7">
        <v>0</v>
      </c>
      <c r="P26" s="7">
        <v>5</v>
      </c>
      <c r="Q26" s="7">
        <v>0</v>
      </c>
      <c r="R26" s="7">
        <v>0</v>
      </c>
      <c r="S26" s="7">
        <v>0</v>
      </c>
      <c r="T26" s="7">
        <v>5351.83</v>
      </c>
      <c r="U26" s="7">
        <v>0</v>
      </c>
      <c r="V26" s="7">
        <v>0</v>
      </c>
      <c r="W26" s="7">
        <v>0</v>
      </c>
      <c r="X26" s="7">
        <v>22.73</v>
      </c>
      <c r="Y26" s="7">
        <v>20.74</v>
      </c>
      <c r="Z26" s="7">
        <v>8.15</v>
      </c>
      <c r="AA26" s="7">
        <v>0</v>
      </c>
      <c r="AB26" s="7">
        <v>0</v>
      </c>
      <c r="AC26" s="7">
        <v>0</v>
      </c>
      <c r="AD26" s="7">
        <v>0</v>
      </c>
      <c r="AE26" s="7">
        <v>1076</v>
      </c>
      <c r="AF26" s="7">
        <v>0</v>
      </c>
      <c r="AG26" s="7">
        <v>0</v>
      </c>
      <c r="AH26" s="7">
        <v>1127.6199999999999</v>
      </c>
      <c r="AI26" s="7">
        <v>4224.9799999999996</v>
      </c>
      <c r="AJ26" s="7">
        <v>0.77</v>
      </c>
      <c r="AK26" s="7">
        <v>0.98</v>
      </c>
      <c r="AL26" s="8">
        <v>4224</v>
      </c>
      <c r="AM26" s="14">
        <f>VLOOKUP(D26,[1]财务部报表_有人事号!$A$2:$D$400,3,0)</f>
        <v>10000</v>
      </c>
      <c r="AN26" s="14">
        <f>VLOOKUP(D26,[1]财务部报表_有人事号!$A$2:$E$400,4,0)</f>
        <v>1647.08</v>
      </c>
      <c r="AR26" t="str">
        <f>LOOKUP(D26,[2]contacts!$A$2:$A$400,[2]contacts!$G$2:$G$400)</f>
        <v>dianqing@whu.edu.cn</v>
      </c>
    </row>
    <row r="27" spans="1:44">
      <c r="A27" s="5" t="s">
        <v>38</v>
      </c>
      <c r="B27" s="6" t="s">
        <v>39</v>
      </c>
      <c r="C27" s="6" t="s">
        <v>40</v>
      </c>
      <c r="D27" s="17" t="s">
        <v>84</v>
      </c>
      <c r="E27" s="6" t="s">
        <v>85</v>
      </c>
      <c r="F27" s="7">
        <v>730</v>
      </c>
      <c r="G27" s="7">
        <v>417</v>
      </c>
      <c r="H27" s="7">
        <v>2102</v>
      </c>
      <c r="I27" s="7">
        <v>56</v>
      </c>
      <c r="J27" s="7">
        <v>0</v>
      </c>
      <c r="K27" s="7">
        <v>0</v>
      </c>
      <c r="L27" s="7">
        <v>28.68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3333.68</v>
      </c>
      <c r="U27" s="7">
        <v>0</v>
      </c>
      <c r="V27" s="7">
        <v>0</v>
      </c>
      <c r="W27" s="7">
        <v>0</v>
      </c>
      <c r="X27" s="7">
        <v>11.47</v>
      </c>
      <c r="Y27" s="7">
        <v>0</v>
      </c>
      <c r="Z27" s="7">
        <v>3.65</v>
      </c>
      <c r="AA27" s="7">
        <v>0</v>
      </c>
      <c r="AB27" s="7">
        <v>0</v>
      </c>
      <c r="AC27" s="7">
        <v>0</v>
      </c>
      <c r="AD27" s="7">
        <v>0</v>
      </c>
      <c r="AE27" s="7">
        <v>652</v>
      </c>
      <c r="AF27" s="7">
        <v>0</v>
      </c>
      <c r="AG27" s="7">
        <v>0</v>
      </c>
      <c r="AH27" s="7">
        <v>667.12</v>
      </c>
      <c r="AI27" s="7">
        <v>2666.8</v>
      </c>
      <c r="AJ27" s="7">
        <v>0.24</v>
      </c>
      <c r="AK27" s="7">
        <v>0.8</v>
      </c>
      <c r="AL27" s="8">
        <v>2666</v>
      </c>
      <c r="AM27" s="14">
        <f>VLOOKUP(D27,[1]财务部报表_有人事号!$A$2:$D$400,3,0)</f>
        <v>1430</v>
      </c>
      <c r="AN27" s="14">
        <f>VLOOKUP(D27,[1]财务部报表_有人事号!$A$2:$E$400,4,0)</f>
        <v>17.149999999999999</v>
      </c>
      <c r="AR27" t="str">
        <f>LOOKUP(D27,[2]contacts!$A$2:$A$400,[2]contacts!$G$2:$G$400)</f>
        <v>chenjt000@163.com</v>
      </c>
    </row>
    <row r="28" spans="1:44">
      <c r="A28" s="5" t="s">
        <v>38</v>
      </c>
      <c r="B28" s="6" t="s">
        <v>39</v>
      </c>
      <c r="C28" s="6" t="s">
        <v>40</v>
      </c>
      <c r="D28" s="17" t="s">
        <v>86</v>
      </c>
      <c r="E28" s="6" t="s">
        <v>87</v>
      </c>
      <c r="F28" s="7">
        <v>930</v>
      </c>
      <c r="G28" s="7">
        <v>391</v>
      </c>
      <c r="H28" s="7">
        <v>2376</v>
      </c>
      <c r="I28" s="7">
        <v>56</v>
      </c>
      <c r="J28" s="7">
        <v>0</v>
      </c>
      <c r="K28" s="7">
        <v>0</v>
      </c>
      <c r="L28" s="7">
        <v>33.03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3786.03</v>
      </c>
      <c r="U28" s="7">
        <v>0</v>
      </c>
      <c r="V28" s="7">
        <v>0</v>
      </c>
      <c r="W28" s="7">
        <v>0</v>
      </c>
      <c r="X28" s="7">
        <v>13.21</v>
      </c>
      <c r="Y28" s="7">
        <v>0</v>
      </c>
      <c r="Z28" s="7">
        <v>4.6500000000000004</v>
      </c>
      <c r="AA28" s="7">
        <v>0</v>
      </c>
      <c r="AB28" s="7">
        <v>0</v>
      </c>
      <c r="AC28" s="7">
        <v>0</v>
      </c>
      <c r="AD28" s="7">
        <v>0</v>
      </c>
      <c r="AE28" s="7">
        <v>741</v>
      </c>
      <c r="AF28" s="7">
        <v>0</v>
      </c>
      <c r="AG28" s="7">
        <v>0</v>
      </c>
      <c r="AH28" s="7">
        <v>758.86</v>
      </c>
      <c r="AI28" s="7">
        <v>3027.47</v>
      </c>
      <c r="AJ28" s="7">
        <v>0.3</v>
      </c>
      <c r="AK28" s="7">
        <v>0.47</v>
      </c>
      <c r="AL28" s="8">
        <v>3027</v>
      </c>
      <c r="AM28" s="14">
        <f>VLOOKUP(D28,[1]财务部报表_有人事号!$A$2:$D$400,3,0)</f>
        <v>1950</v>
      </c>
      <c r="AN28" s="14">
        <f>VLOOKUP(D28,[1]财务部报表_有人事号!$A$2:$E$400,4,0)</f>
        <v>43.46</v>
      </c>
      <c r="AR28" t="str">
        <f>LOOKUP(D28,[2]contacts!$A$2:$A$400,[2]contacts!$G$2:$G$400)</f>
        <v>chenjt000@163.com</v>
      </c>
    </row>
    <row r="29" spans="1:44">
      <c r="A29" s="5" t="s">
        <v>38</v>
      </c>
      <c r="B29" s="6" t="s">
        <v>39</v>
      </c>
      <c r="C29" s="6" t="s">
        <v>40</v>
      </c>
      <c r="D29" s="17" t="s">
        <v>88</v>
      </c>
      <c r="E29" s="6" t="s">
        <v>89</v>
      </c>
      <c r="F29" s="7">
        <v>930</v>
      </c>
      <c r="G29" s="7">
        <v>391</v>
      </c>
      <c r="H29" s="7">
        <v>2376</v>
      </c>
      <c r="I29" s="7">
        <v>56</v>
      </c>
      <c r="J29" s="7">
        <v>0</v>
      </c>
      <c r="K29" s="7">
        <v>0</v>
      </c>
      <c r="L29" s="7">
        <v>33.03</v>
      </c>
      <c r="M29" s="7">
        <v>0</v>
      </c>
      <c r="N29" s="7">
        <v>0</v>
      </c>
      <c r="O29" s="7">
        <v>0</v>
      </c>
      <c r="P29" s="7">
        <v>5</v>
      </c>
      <c r="Q29" s="7">
        <v>0</v>
      </c>
      <c r="R29" s="7">
        <v>0</v>
      </c>
      <c r="S29" s="7">
        <v>0</v>
      </c>
      <c r="T29" s="7">
        <v>3791.03</v>
      </c>
      <c r="U29" s="7">
        <v>0</v>
      </c>
      <c r="V29" s="7">
        <v>0</v>
      </c>
      <c r="W29" s="7">
        <v>0</v>
      </c>
      <c r="X29" s="7">
        <v>13.21</v>
      </c>
      <c r="Y29" s="7">
        <v>0</v>
      </c>
      <c r="Z29" s="7">
        <v>4.6500000000000004</v>
      </c>
      <c r="AA29" s="7">
        <v>0</v>
      </c>
      <c r="AB29" s="7">
        <v>0</v>
      </c>
      <c r="AC29" s="7">
        <v>0</v>
      </c>
      <c r="AD29" s="7">
        <v>0</v>
      </c>
      <c r="AE29" s="7">
        <v>741</v>
      </c>
      <c r="AF29" s="7">
        <v>0</v>
      </c>
      <c r="AG29" s="7">
        <v>0</v>
      </c>
      <c r="AH29" s="7">
        <v>758.86</v>
      </c>
      <c r="AI29" s="7">
        <v>3032.3</v>
      </c>
      <c r="AJ29" s="7">
        <v>0.13</v>
      </c>
      <c r="AK29" s="7">
        <v>0.3</v>
      </c>
      <c r="AL29" s="8">
        <v>3032</v>
      </c>
      <c r="AM29" s="14">
        <f>VLOOKUP(D29,[1]财务部报表_有人事号!$A$2:$D$400,3,0)</f>
        <v>1950</v>
      </c>
      <c r="AN29" s="14">
        <f>VLOOKUP(D29,[1]财务部报表_有人事号!$A$2:$E$400,4,0)</f>
        <v>43.46</v>
      </c>
      <c r="AR29" t="str">
        <f>LOOKUP(D29,[2]contacts!$A$2:$A$400,[2]contacts!$G$2:$G$400)</f>
        <v>zw97082@126.com</v>
      </c>
    </row>
    <row r="30" spans="1:44">
      <c r="A30" s="5" t="s">
        <v>38</v>
      </c>
      <c r="B30" s="6" t="s">
        <v>39</v>
      </c>
      <c r="C30" s="6" t="s">
        <v>40</v>
      </c>
      <c r="D30" s="17" t="s">
        <v>90</v>
      </c>
      <c r="E30" s="6" t="s">
        <v>91</v>
      </c>
      <c r="F30" s="7">
        <v>930</v>
      </c>
      <c r="G30" s="7">
        <v>391</v>
      </c>
      <c r="H30" s="7">
        <v>2376</v>
      </c>
      <c r="I30" s="7">
        <v>56</v>
      </c>
      <c r="J30" s="7">
        <v>0</v>
      </c>
      <c r="K30" s="7">
        <v>0</v>
      </c>
      <c r="L30" s="7">
        <v>33.03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3786.03</v>
      </c>
      <c r="U30" s="7">
        <v>0</v>
      </c>
      <c r="V30" s="7">
        <v>0</v>
      </c>
      <c r="W30" s="7">
        <v>0</v>
      </c>
      <c r="X30" s="7">
        <v>13.21</v>
      </c>
      <c r="Y30" s="7">
        <v>0</v>
      </c>
      <c r="Z30" s="7">
        <v>4.6500000000000004</v>
      </c>
      <c r="AA30" s="7">
        <v>0</v>
      </c>
      <c r="AB30" s="7">
        <v>0</v>
      </c>
      <c r="AC30" s="7">
        <v>0</v>
      </c>
      <c r="AD30" s="7">
        <v>0</v>
      </c>
      <c r="AE30" s="7">
        <v>741</v>
      </c>
      <c r="AF30" s="7">
        <v>0</v>
      </c>
      <c r="AG30" s="7">
        <v>0</v>
      </c>
      <c r="AH30" s="7">
        <v>758.86</v>
      </c>
      <c r="AI30" s="7">
        <v>3027.41</v>
      </c>
      <c r="AJ30" s="7">
        <v>0.24</v>
      </c>
      <c r="AK30" s="7">
        <v>0.41</v>
      </c>
      <c r="AL30" s="8">
        <v>3027</v>
      </c>
      <c r="AM30" s="14">
        <f>VLOOKUP(D30,[1]财务部报表_有人事号!$A$2:$D$400,3,0)</f>
        <v>1950</v>
      </c>
      <c r="AN30" s="14">
        <f>VLOOKUP(D30,[1]财务部报表_有人事号!$A$2:$E$400,4,0)</f>
        <v>43.46</v>
      </c>
      <c r="AR30" t="str">
        <f>LOOKUP(D30,[2]contacts!$A$2:$A$400,[2]contacts!$G$2:$G$400)</f>
        <v>whuchm@whu.edu.cn</v>
      </c>
    </row>
    <row r="31" spans="1:44">
      <c r="A31" s="5" t="s">
        <v>38</v>
      </c>
      <c r="B31" s="6" t="s">
        <v>39</v>
      </c>
      <c r="C31" s="6" t="s">
        <v>40</v>
      </c>
      <c r="D31" s="17" t="s">
        <v>92</v>
      </c>
      <c r="E31" s="6" t="s">
        <v>93</v>
      </c>
      <c r="F31" s="7">
        <v>930</v>
      </c>
      <c r="G31" s="7">
        <v>391</v>
      </c>
      <c r="H31" s="7">
        <v>2376</v>
      </c>
      <c r="I31" s="7">
        <v>56</v>
      </c>
      <c r="J31" s="7">
        <v>0</v>
      </c>
      <c r="K31" s="7">
        <v>0</v>
      </c>
      <c r="L31" s="7">
        <v>33.03</v>
      </c>
      <c r="M31" s="7">
        <v>0</v>
      </c>
      <c r="N31" s="7">
        <v>0</v>
      </c>
      <c r="O31" s="7">
        <v>0</v>
      </c>
      <c r="P31" s="7">
        <v>5</v>
      </c>
      <c r="Q31" s="7">
        <v>0</v>
      </c>
      <c r="R31" s="7">
        <v>0</v>
      </c>
      <c r="S31" s="7">
        <v>0</v>
      </c>
      <c r="T31" s="7">
        <v>3791.03</v>
      </c>
      <c r="U31" s="7">
        <v>0</v>
      </c>
      <c r="V31" s="7">
        <v>0</v>
      </c>
      <c r="W31" s="7">
        <v>0</v>
      </c>
      <c r="X31" s="7">
        <v>13.21</v>
      </c>
      <c r="Y31" s="7">
        <v>0</v>
      </c>
      <c r="Z31" s="7">
        <v>4.6500000000000004</v>
      </c>
      <c r="AA31" s="7">
        <v>0</v>
      </c>
      <c r="AB31" s="7">
        <v>0</v>
      </c>
      <c r="AC31" s="7">
        <v>0</v>
      </c>
      <c r="AD31" s="7">
        <v>0</v>
      </c>
      <c r="AE31" s="7">
        <v>741</v>
      </c>
      <c r="AF31" s="7">
        <v>0</v>
      </c>
      <c r="AG31" s="7">
        <v>0</v>
      </c>
      <c r="AH31" s="7">
        <v>758.86</v>
      </c>
      <c r="AI31" s="7">
        <v>3032.41</v>
      </c>
      <c r="AJ31" s="7">
        <v>0.24</v>
      </c>
      <c r="AK31" s="7">
        <v>0.41</v>
      </c>
      <c r="AL31" s="8">
        <v>3032</v>
      </c>
      <c r="AM31" s="14">
        <f>VLOOKUP(D31,[1]财务部报表_有人事号!$A$2:$D$400,3,0)</f>
        <v>1950</v>
      </c>
      <c r="AN31" s="14">
        <f>VLOOKUP(D31,[1]财务部报表_有人事号!$A$2:$E$400,4,0)</f>
        <v>43.46</v>
      </c>
      <c r="AR31" t="str">
        <f>LOOKUP(D31,[2]contacts!$A$2:$A$400,[2]contacts!$G$2:$G$400)</f>
        <v>suker8044@163.com</v>
      </c>
    </row>
    <row r="32" spans="1:44">
      <c r="A32" s="5" t="s">
        <v>38</v>
      </c>
      <c r="B32" s="6" t="s">
        <v>39</v>
      </c>
      <c r="C32" s="6" t="s">
        <v>40</v>
      </c>
      <c r="D32" s="17" t="s">
        <v>94</v>
      </c>
      <c r="E32" s="6" t="s">
        <v>95</v>
      </c>
      <c r="F32" s="7">
        <v>930</v>
      </c>
      <c r="G32" s="7">
        <v>391</v>
      </c>
      <c r="H32" s="7">
        <v>2376</v>
      </c>
      <c r="I32" s="7">
        <v>56</v>
      </c>
      <c r="J32" s="7">
        <v>0</v>
      </c>
      <c r="K32" s="7">
        <v>0</v>
      </c>
      <c r="L32" s="7">
        <v>33.03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3786.03</v>
      </c>
      <c r="U32" s="7">
        <v>479</v>
      </c>
      <c r="V32" s="7">
        <v>5.7</v>
      </c>
      <c r="W32" s="7">
        <v>11.3</v>
      </c>
      <c r="X32" s="7">
        <v>13.21</v>
      </c>
      <c r="Y32" s="7">
        <v>0</v>
      </c>
      <c r="Z32" s="7">
        <v>4.6500000000000004</v>
      </c>
      <c r="AA32" s="7">
        <v>0</v>
      </c>
      <c r="AB32" s="7">
        <v>0</v>
      </c>
      <c r="AC32" s="7">
        <v>0</v>
      </c>
      <c r="AD32" s="7">
        <v>0</v>
      </c>
      <c r="AE32" s="7">
        <v>741</v>
      </c>
      <c r="AF32" s="7">
        <v>0</v>
      </c>
      <c r="AG32" s="7">
        <v>0</v>
      </c>
      <c r="AH32" s="7">
        <v>1254.8599999999999</v>
      </c>
      <c r="AI32" s="7">
        <v>2531.87</v>
      </c>
      <c r="AJ32" s="7">
        <v>0.7</v>
      </c>
      <c r="AK32" s="7">
        <v>0.87</v>
      </c>
      <c r="AL32" s="8">
        <v>2531</v>
      </c>
      <c r="AM32" s="14">
        <f>VLOOKUP(D32,[1]财务部报表_有人事号!$A$2:$D$400,3,0)</f>
        <v>1950</v>
      </c>
      <c r="AN32" s="14">
        <f>VLOOKUP(D32,[1]财务部报表_有人事号!$A$2:$E$400,4,0)</f>
        <v>43.46</v>
      </c>
      <c r="AR32" t="str">
        <f>LOOKUP(D32,[2]contacts!$A$2:$A$400,[2]contacts!$G$2:$G$400)</f>
        <v>chua@whu.edu.cn</v>
      </c>
    </row>
    <row r="33" spans="1:44">
      <c r="A33" s="5" t="s">
        <v>38</v>
      </c>
      <c r="B33" s="6" t="s">
        <v>39</v>
      </c>
      <c r="C33" s="6" t="s">
        <v>40</v>
      </c>
      <c r="D33" s="17" t="s">
        <v>96</v>
      </c>
      <c r="E33" s="6" t="s">
        <v>97</v>
      </c>
      <c r="F33" s="7">
        <v>730</v>
      </c>
      <c r="G33" s="7">
        <v>443</v>
      </c>
      <c r="H33" s="7">
        <v>2102</v>
      </c>
      <c r="I33" s="7">
        <v>56</v>
      </c>
      <c r="J33" s="7">
        <v>0</v>
      </c>
      <c r="K33" s="7">
        <v>0</v>
      </c>
      <c r="L33" s="7">
        <v>29.33</v>
      </c>
      <c r="M33" s="7">
        <v>0</v>
      </c>
      <c r="N33" s="7">
        <v>0</v>
      </c>
      <c r="O33" s="7">
        <v>0</v>
      </c>
      <c r="P33" s="7">
        <v>5</v>
      </c>
      <c r="Q33" s="7">
        <v>0</v>
      </c>
      <c r="R33" s="7">
        <v>0</v>
      </c>
      <c r="S33" s="7">
        <v>0</v>
      </c>
      <c r="T33" s="7">
        <v>3365.33</v>
      </c>
      <c r="U33" s="7">
        <v>38</v>
      </c>
      <c r="V33" s="7">
        <v>64.599999999999994</v>
      </c>
      <c r="W33" s="7">
        <v>82.11</v>
      </c>
      <c r="X33" s="7">
        <v>11.73</v>
      </c>
      <c r="Y33" s="7">
        <v>0</v>
      </c>
      <c r="Z33" s="7">
        <v>3.65</v>
      </c>
      <c r="AA33" s="7">
        <v>0</v>
      </c>
      <c r="AB33" s="7">
        <v>0</v>
      </c>
      <c r="AC33" s="7">
        <v>0</v>
      </c>
      <c r="AD33" s="7">
        <v>0</v>
      </c>
      <c r="AE33" s="7">
        <v>658</v>
      </c>
      <c r="AF33" s="7">
        <v>0</v>
      </c>
      <c r="AG33" s="7">
        <v>0</v>
      </c>
      <c r="AH33" s="7">
        <v>858.09</v>
      </c>
      <c r="AI33" s="7">
        <v>2507.38</v>
      </c>
      <c r="AJ33" s="7">
        <v>0.14000000000000001</v>
      </c>
      <c r="AK33" s="7">
        <v>0.38</v>
      </c>
      <c r="AL33" s="8">
        <v>2507</v>
      </c>
      <c r="AM33" s="14">
        <f>VLOOKUP(D33,[1]财务部报表_有人事号!$A$2:$D$400,3,0)</f>
        <v>1430</v>
      </c>
      <c r="AN33" s="14">
        <f>VLOOKUP(D33,[1]财务部报表_有人事号!$A$2:$E$400,4,0)</f>
        <v>17.739999999999998</v>
      </c>
      <c r="AR33" t="str">
        <f>LOOKUP(D33,[2]contacts!$A$2:$A$400,[2]contacts!$G$2:$G$400)</f>
        <v>hsyang@whu.edu.cn</v>
      </c>
    </row>
    <row r="34" spans="1:44">
      <c r="A34" s="5" t="s">
        <v>38</v>
      </c>
      <c r="B34" s="6" t="s">
        <v>39</v>
      </c>
      <c r="C34" s="6" t="s">
        <v>40</v>
      </c>
      <c r="D34" s="17" t="s">
        <v>98</v>
      </c>
      <c r="E34" s="6" t="s">
        <v>99</v>
      </c>
      <c r="F34" s="7">
        <v>930</v>
      </c>
      <c r="G34" s="7">
        <v>365</v>
      </c>
      <c r="H34" s="7">
        <v>2376</v>
      </c>
      <c r="I34" s="7">
        <v>56</v>
      </c>
      <c r="J34" s="7">
        <v>0</v>
      </c>
      <c r="K34" s="7">
        <v>0</v>
      </c>
      <c r="L34" s="7">
        <v>32.380000000000003</v>
      </c>
      <c r="M34" s="7">
        <v>0</v>
      </c>
      <c r="N34" s="7">
        <v>0</v>
      </c>
      <c r="O34" s="7">
        <v>0</v>
      </c>
      <c r="P34" s="7">
        <v>5</v>
      </c>
      <c r="Q34" s="7">
        <v>0</v>
      </c>
      <c r="R34" s="7">
        <v>0</v>
      </c>
      <c r="S34" s="7">
        <v>0</v>
      </c>
      <c r="T34" s="7">
        <v>3764.38</v>
      </c>
      <c r="U34" s="7">
        <v>0</v>
      </c>
      <c r="V34" s="7">
        <v>0</v>
      </c>
      <c r="W34" s="7">
        <v>0</v>
      </c>
      <c r="X34" s="7">
        <v>12.95</v>
      </c>
      <c r="Y34" s="7">
        <v>0</v>
      </c>
      <c r="Z34" s="7">
        <v>4.6500000000000004</v>
      </c>
      <c r="AA34" s="7">
        <v>0</v>
      </c>
      <c r="AB34" s="7">
        <v>0</v>
      </c>
      <c r="AC34" s="7">
        <v>0</v>
      </c>
      <c r="AD34" s="7">
        <v>0</v>
      </c>
      <c r="AE34" s="7">
        <v>734</v>
      </c>
      <c r="AF34" s="7">
        <v>0</v>
      </c>
      <c r="AG34" s="7">
        <v>0</v>
      </c>
      <c r="AH34" s="7">
        <v>751.6</v>
      </c>
      <c r="AI34" s="7">
        <v>3013.38</v>
      </c>
      <c r="AJ34" s="7">
        <v>0.6</v>
      </c>
      <c r="AK34" s="7">
        <v>0.38</v>
      </c>
      <c r="AL34" s="8">
        <v>3013</v>
      </c>
      <c r="AM34" s="14">
        <f>VLOOKUP(D34,[1]财务部报表_有人事号!$A$2:$D$400,3,0)</f>
        <v>1950</v>
      </c>
      <c r="AN34" s="14">
        <f>VLOOKUP(D34,[1]财务部报表_有人事号!$A$2:$E$400,4,0)</f>
        <v>42.9</v>
      </c>
      <c r="AR34" t="str">
        <f>LOOKUP(D34,[2]contacts!$A$2:$A$400,[2]contacts!$G$2:$G$400)</f>
        <v>dqjin@whu.edu.cn</v>
      </c>
    </row>
    <row r="35" spans="1:44">
      <c r="A35" s="5" t="s">
        <v>38</v>
      </c>
      <c r="B35" s="6" t="s">
        <v>39</v>
      </c>
      <c r="C35" s="6" t="s">
        <v>40</v>
      </c>
      <c r="D35" s="17" t="s">
        <v>100</v>
      </c>
      <c r="E35" s="6" t="s">
        <v>101</v>
      </c>
      <c r="F35" s="7">
        <v>930</v>
      </c>
      <c r="G35" s="7">
        <v>443</v>
      </c>
      <c r="H35" s="7">
        <v>2376</v>
      </c>
      <c r="I35" s="7">
        <v>56</v>
      </c>
      <c r="J35" s="7">
        <v>0</v>
      </c>
      <c r="K35" s="7">
        <v>0</v>
      </c>
      <c r="L35" s="7">
        <v>34.33</v>
      </c>
      <c r="M35" s="7">
        <v>0</v>
      </c>
      <c r="N35" s="7">
        <v>0</v>
      </c>
      <c r="O35" s="7">
        <v>0</v>
      </c>
      <c r="P35" s="7">
        <v>5</v>
      </c>
      <c r="Q35" s="7">
        <v>0</v>
      </c>
      <c r="R35" s="7">
        <v>0</v>
      </c>
      <c r="S35" s="7">
        <v>0</v>
      </c>
      <c r="T35" s="7">
        <v>3844.33</v>
      </c>
      <c r="U35" s="7">
        <v>1116</v>
      </c>
      <c r="V35" s="7">
        <v>0</v>
      </c>
      <c r="W35" s="7">
        <v>0</v>
      </c>
      <c r="X35" s="7">
        <v>13.73</v>
      </c>
      <c r="Y35" s="7">
        <v>0</v>
      </c>
      <c r="Z35" s="7">
        <v>4.6500000000000004</v>
      </c>
      <c r="AA35" s="7">
        <v>0</v>
      </c>
      <c r="AB35" s="7">
        <v>0</v>
      </c>
      <c r="AC35" s="7">
        <v>0</v>
      </c>
      <c r="AD35" s="7">
        <v>0</v>
      </c>
      <c r="AE35" s="7">
        <v>754</v>
      </c>
      <c r="AF35" s="7">
        <v>0</v>
      </c>
      <c r="AG35" s="7">
        <v>0</v>
      </c>
      <c r="AH35" s="7">
        <v>1888.38</v>
      </c>
      <c r="AI35" s="7">
        <v>1956.5</v>
      </c>
      <c r="AJ35" s="7">
        <v>0.55000000000000004</v>
      </c>
      <c r="AK35" s="7">
        <v>0.5</v>
      </c>
      <c r="AL35" s="8">
        <v>1956</v>
      </c>
      <c r="AM35" s="14">
        <f>VLOOKUP(D35,[1]财务部报表_有人事号!$A$2:$D$400,3,0)</f>
        <v>1950</v>
      </c>
      <c r="AN35" s="14">
        <f>VLOOKUP(D35,[1]财务部报表_有人事号!$A$2:$E$400,4,0)</f>
        <v>44.62</v>
      </c>
      <c r="AR35" t="str">
        <f>LOOKUP(D35,[2]contacts!$A$2:$A$400,[2]contacts!$G$2:$G$400)</f>
        <v>shliu-job@163.com</v>
      </c>
    </row>
    <row r="36" spans="1:44">
      <c r="A36" s="5" t="s">
        <v>38</v>
      </c>
      <c r="B36" s="6" t="s">
        <v>39</v>
      </c>
      <c r="C36" s="6" t="s">
        <v>40</v>
      </c>
      <c r="D36" s="17" t="s">
        <v>102</v>
      </c>
      <c r="E36" s="6" t="s">
        <v>103</v>
      </c>
      <c r="F36" s="7">
        <v>1040</v>
      </c>
      <c r="G36" s="7">
        <v>735</v>
      </c>
      <c r="H36" s="7">
        <v>2413</v>
      </c>
      <c r="I36" s="7">
        <v>56</v>
      </c>
      <c r="J36" s="7">
        <v>20</v>
      </c>
      <c r="K36" s="7">
        <v>0</v>
      </c>
      <c r="L36" s="7">
        <v>44.38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4308.38</v>
      </c>
      <c r="U36" s="7">
        <v>0</v>
      </c>
      <c r="V36" s="7">
        <v>0</v>
      </c>
      <c r="W36" s="7">
        <v>0</v>
      </c>
      <c r="X36" s="7">
        <v>17.75</v>
      </c>
      <c r="Y36" s="7">
        <v>0</v>
      </c>
      <c r="Z36" s="7">
        <v>5.2</v>
      </c>
      <c r="AA36" s="7">
        <v>0</v>
      </c>
      <c r="AB36" s="7">
        <v>0</v>
      </c>
      <c r="AC36" s="7">
        <v>0</v>
      </c>
      <c r="AD36" s="7">
        <v>0</v>
      </c>
      <c r="AE36" s="7">
        <v>860</v>
      </c>
      <c r="AF36" s="7">
        <v>0</v>
      </c>
      <c r="AG36" s="7">
        <v>0</v>
      </c>
      <c r="AH36" s="7">
        <v>882.95</v>
      </c>
      <c r="AI36" s="7">
        <v>3426.05</v>
      </c>
      <c r="AJ36" s="7">
        <v>0.62</v>
      </c>
      <c r="AK36" s="7">
        <v>0.05</v>
      </c>
      <c r="AL36" s="8">
        <v>3426</v>
      </c>
      <c r="AM36" s="14">
        <f>VLOOKUP(D36,[1]财务部报表_有人事号!$A$2:$D$400,3,0)</f>
        <v>2100</v>
      </c>
      <c r="AN36" s="14">
        <f>VLOOKUP(D36,[1]财务部报表_有人事号!$A$2:$E$400,4,0)</f>
        <v>93.63</v>
      </c>
      <c r="AR36" t="str">
        <f>LOOKUP(D36,[2]contacts!$A$2:$A$400,[2]contacts!$G$2:$G$400)</f>
        <v>xuqing8263@hotmail.com</v>
      </c>
    </row>
    <row r="37" spans="1:44">
      <c r="A37" s="5" t="s">
        <v>38</v>
      </c>
      <c r="B37" s="6" t="s">
        <v>39</v>
      </c>
      <c r="C37" s="6" t="s">
        <v>40</v>
      </c>
      <c r="D37" s="17" t="s">
        <v>104</v>
      </c>
      <c r="E37" s="6" t="s">
        <v>105</v>
      </c>
      <c r="F37" s="7">
        <v>590</v>
      </c>
      <c r="G37" s="7">
        <v>295</v>
      </c>
      <c r="H37" s="7">
        <v>1864</v>
      </c>
      <c r="I37" s="7">
        <v>56</v>
      </c>
      <c r="J37" s="7">
        <v>0</v>
      </c>
      <c r="K37" s="7">
        <v>0</v>
      </c>
      <c r="L37" s="7">
        <v>22.13</v>
      </c>
      <c r="M37" s="7">
        <v>0</v>
      </c>
      <c r="N37" s="7">
        <v>200</v>
      </c>
      <c r="O37" s="7">
        <v>0</v>
      </c>
      <c r="P37" s="7">
        <v>5</v>
      </c>
      <c r="Q37" s="7">
        <v>0</v>
      </c>
      <c r="R37" s="7">
        <v>0</v>
      </c>
      <c r="S37" s="7">
        <v>0</v>
      </c>
      <c r="T37" s="7">
        <v>3032.13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2.95</v>
      </c>
      <c r="AA37" s="7">
        <v>0</v>
      </c>
      <c r="AB37" s="7">
        <v>244.93</v>
      </c>
      <c r="AC37" s="7">
        <v>0</v>
      </c>
      <c r="AD37" s="7">
        <v>0</v>
      </c>
      <c r="AE37" s="7">
        <v>546</v>
      </c>
      <c r="AF37" s="7">
        <v>0</v>
      </c>
      <c r="AG37" s="7">
        <v>0</v>
      </c>
      <c r="AH37" s="7">
        <v>793.88</v>
      </c>
      <c r="AI37" s="7">
        <v>2238.5500000000002</v>
      </c>
      <c r="AJ37" s="7">
        <v>0.3</v>
      </c>
      <c r="AK37" s="7">
        <v>0.55000000000000004</v>
      </c>
      <c r="AL37" s="8">
        <v>2238</v>
      </c>
      <c r="AM37" s="14">
        <f>VLOOKUP(D37,[1]财务部报表_有人事号!$A$2:$D$400,3,0)</f>
        <v>2250</v>
      </c>
      <c r="AN37" s="14">
        <f>VLOOKUP(D37,[1]财务部报表_有人事号!$A$2:$E$400,4,0)</f>
        <v>28.92</v>
      </c>
      <c r="AR37" t="str">
        <f>LOOKUP(D37,[2]contacts!$A$2:$A$400,[2]contacts!$G$2:$G$400)</f>
        <v>iamxgz@163.com</v>
      </c>
    </row>
    <row r="38" spans="1:44">
      <c r="A38" s="5" t="s">
        <v>38</v>
      </c>
      <c r="B38" s="6" t="s">
        <v>39</v>
      </c>
      <c r="C38" s="6" t="s">
        <v>40</v>
      </c>
      <c r="D38" s="17" t="s">
        <v>106</v>
      </c>
      <c r="E38" s="6" t="s">
        <v>107</v>
      </c>
      <c r="F38" s="7">
        <v>930</v>
      </c>
      <c r="G38" s="7">
        <v>341</v>
      </c>
      <c r="H38" s="7">
        <v>2376</v>
      </c>
      <c r="I38" s="7">
        <v>56</v>
      </c>
      <c r="J38" s="7">
        <v>20</v>
      </c>
      <c r="K38" s="7">
        <v>0</v>
      </c>
      <c r="L38" s="7">
        <v>831.78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4554.78</v>
      </c>
      <c r="U38" s="7">
        <v>0</v>
      </c>
      <c r="V38" s="7">
        <v>0</v>
      </c>
      <c r="W38" s="7">
        <v>0</v>
      </c>
      <c r="X38" s="7">
        <v>12.71</v>
      </c>
      <c r="Y38" s="7">
        <v>0</v>
      </c>
      <c r="Z38" s="7">
        <v>4.6500000000000004</v>
      </c>
      <c r="AA38" s="7">
        <v>0</v>
      </c>
      <c r="AB38" s="7">
        <v>0</v>
      </c>
      <c r="AC38" s="7">
        <v>0</v>
      </c>
      <c r="AD38" s="7">
        <v>0</v>
      </c>
      <c r="AE38" s="7">
        <v>728</v>
      </c>
      <c r="AF38" s="7">
        <v>0</v>
      </c>
      <c r="AG38" s="7">
        <v>0</v>
      </c>
      <c r="AH38" s="7">
        <v>745.36</v>
      </c>
      <c r="AI38" s="7">
        <v>3810.14</v>
      </c>
      <c r="AJ38" s="7">
        <v>0.72</v>
      </c>
      <c r="AK38" s="7">
        <v>0.14000000000000001</v>
      </c>
      <c r="AL38" s="8">
        <v>3810</v>
      </c>
      <c r="AM38" s="14" t="e">
        <f>VLOOKUP(D38,[1]财务部报表_有人事号!$A$2:$D$400,3,0)</f>
        <v>#N/A</v>
      </c>
      <c r="AN38" s="14" t="e">
        <f>VLOOKUP(D38,[1]财务部报表_有人事号!$A$2:$E$400,4,0)</f>
        <v>#N/A</v>
      </c>
      <c r="AR38" t="str">
        <f>LOOKUP(D38,[2]contacts!$A$2:$A$400,[2]contacts!$G$2:$G$400)</f>
        <v>xlfu@whu.edu.cn</v>
      </c>
    </row>
    <row r="39" spans="1:44">
      <c r="A39" s="5" t="s">
        <v>38</v>
      </c>
      <c r="B39" s="6" t="s">
        <v>39</v>
      </c>
      <c r="C39" s="6" t="s">
        <v>40</v>
      </c>
      <c r="D39" s="17" t="s">
        <v>108</v>
      </c>
      <c r="E39" s="6" t="s">
        <v>109</v>
      </c>
      <c r="F39" s="7">
        <v>930</v>
      </c>
      <c r="G39" s="7">
        <v>317</v>
      </c>
      <c r="H39" s="7">
        <v>2376</v>
      </c>
      <c r="I39" s="7">
        <v>56</v>
      </c>
      <c r="J39" s="7">
        <v>0</v>
      </c>
      <c r="K39" s="7">
        <v>0</v>
      </c>
      <c r="L39" s="7">
        <v>31.18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3710.18</v>
      </c>
      <c r="U39" s="7">
        <v>0</v>
      </c>
      <c r="V39" s="7">
        <v>0</v>
      </c>
      <c r="W39" s="7">
        <v>0</v>
      </c>
      <c r="X39" s="7">
        <v>12.47</v>
      </c>
      <c r="Y39" s="7">
        <v>0</v>
      </c>
      <c r="Z39" s="7">
        <v>4.6500000000000004</v>
      </c>
      <c r="AA39" s="7">
        <v>0</v>
      </c>
      <c r="AB39" s="7">
        <v>0</v>
      </c>
      <c r="AC39" s="7">
        <v>0</v>
      </c>
      <c r="AD39" s="7">
        <v>0</v>
      </c>
      <c r="AE39" s="7">
        <v>722</v>
      </c>
      <c r="AF39" s="7">
        <v>0</v>
      </c>
      <c r="AG39" s="7">
        <v>0</v>
      </c>
      <c r="AH39" s="7">
        <v>739.12</v>
      </c>
      <c r="AI39" s="7">
        <v>2971.94</v>
      </c>
      <c r="AJ39" s="7">
        <v>0.88</v>
      </c>
      <c r="AK39" s="7">
        <v>0.94</v>
      </c>
      <c r="AL39" s="8">
        <v>2971</v>
      </c>
      <c r="AM39" s="14">
        <f>VLOOKUP(D39,[1]财务部报表_有人事号!$A$2:$D$400,3,0)</f>
        <v>1950</v>
      </c>
      <c r="AN39" s="14">
        <f>VLOOKUP(D39,[1]财务部报表_有人事号!$A$2:$E$400,4,0)</f>
        <v>41.84</v>
      </c>
      <c r="AR39" t="str">
        <f>LOOKUP(D39,[2]contacts!$A$2:$A$400,[2]contacts!$G$2:$G$400)</f>
        <v>cwshu@163.com</v>
      </c>
    </row>
    <row r="40" spans="1:44">
      <c r="A40" s="5" t="s">
        <v>38</v>
      </c>
      <c r="B40" s="6" t="s">
        <v>39</v>
      </c>
      <c r="C40" s="6" t="s">
        <v>40</v>
      </c>
      <c r="D40" s="17" t="s">
        <v>110</v>
      </c>
      <c r="E40" s="6" t="s">
        <v>111</v>
      </c>
      <c r="F40" s="7">
        <v>730</v>
      </c>
      <c r="G40" s="7">
        <v>317</v>
      </c>
      <c r="H40" s="7">
        <v>2102</v>
      </c>
      <c r="I40" s="7">
        <v>56</v>
      </c>
      <c r="J40" s="7">
        <v>0</v>
      </c>
      <c r="K40" s="7">
        <v>0</v>
      </c>
      <c r="L40" s="7">
        <v>826.18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4031.18</v>
      </c>
      <c r="U40" s="7">
        <v>0</v>
      </c>
      <c r="V40" s="7">
        <v>0</v>
      </c>
      <c r="W40" s="7">
        <v>0</v>
      </c>
      <c r="X40" s="7">
        <v>10.47</v>
      </c>
      <c r="Y40" s="7">
        <v>0</v>
      </c>
      <c r="Z40" s="7">
        <v>3.65</v>
      </c>
      <c r="AA40" s="7">
        <v>0</v>
      </c>
      <c r="AB40" s="7">
        <v>0</v>
      </c>
      <c r="AC40" s="7">
        <v>0</v>
      </c>
      <c r="AD40" s="7">
        <v>0</v>
      </c>
      <c r="AE40" s="7">
        <v>627</v>
      </c>
      <c r="AF40" s="7">
        <v>0</v>
      </c>
      <c r="AG40" s="7">
        <v>0</v>
      </c>
      <c r="AH40" s="7">
        <v>641.12</v>
      </c>
      <c r="AI40" s="7">
        <v>3390.19</v>
      </c>
      <c r="AJ40" s="7">
        <v>0.13</v>
      </c>
      <c r="AK40" s="7">
        <v>0.19</v>
      </c>
      <c r="AL40" s="8">
        <v>3390</v>
      </c>
      <c r="AM40" s="14">
        <f>VLOOKUP(D40,[1]财务部报表_有人事号!$A$2:$D$400,3,0)</f>
        <v>1430</v>
      </c>
      <c r="AN40" s="14">
        <f>VLOOKUP(D40,[1]财务部报表_有人事号!$A$2:$E$400,4,0)</f>
        <v>14.93</v>
      </c>
      <c r="AR40" t="str">
        <f>LOOKUP(D40,[2]contacts!$A$2:$A$400,[2]contacts!$G$2:$G$400)</f>
        <v>danlee@whu.edu.cn</v>
      </c>
    </row>
    <row r="41" spans="1:44">
      <c r="A41" s="5" t="s">
        <v>38</v>
      </c>
      <c r="B41" s="6" t="s">
        <v>39</v>
      </c>
      <c r="C41" s="6" t="s">
        <v>40</v>
      </c>
      <c r="D41" s="17" t="s">
        <v>112</v>
      </c>
      <c r="E41" s="6" t="s">
        <v>113</v>
      </c>
      <c r="F41" s="7">
        <v>730</v>
      </c>
      <c r="G41" s="7">
        <v>317</v>
      </c>
      <c r="H41" s="7">
        <v>2102</v>
      </c>
      <c r="I41" s="7">
        <v>56</v>
      </c>
      <c r="J41" s="7">
        <v>0</v>
      </c>
      <c r="K41" s="7">
        <v>0</v>
      </c>
      <c r="L41" s="7">
        <v>826.18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4031.18</v>
      </c>
      <c r="U41" s="7">
        <v>0</v>
      </c>
      <c r="V41" s="7">
        <v>0</v>
      </c>
      <c r="W41" s="7">
        <v>0</v>
      </c>
      <c r="X41" s="7">
        <v>10.47</v>
      </c>
      <c r="Y41" s="7">
        <v>0</v>
      </c>
      <c r="Z41" s="7">
        <v>3.65</v>
      </c>
      <c r="AA41" s="7">
        <v>0</v>
      </c>
      <c r="AB41" s="7">
        <v>0</v>
      </c>
      <c r="AC41" s="7">
        <v>0</v>
      </c>
      <c r="AD41" s="7">
        <v>0</v>
      </c>
      <c r="AE41" s="7">
        <v>627</v>
      </c>
      <c r="AF41" s="7">
        <v>0</v>
      </c>
      <c r="AG41" s="7">
        <v>0</v>
      </c>
      <c r="AH41" s="7">
        <v>641.12</v>
      </c>
      <c r="AI41" s="7">
        <v>3390.8</v>
      </c>
      <c r="AJ41" s="7">
        <v>0.74</v>
      </c>
      <c r="AK41" s="7">
        <v>0.8</v>
      </c>
      <c r="AL41" s="8">
        <v>3390</v>
      </c>
      <c r="AM41" s="14">
        <f>VLOOKUP(D41,[1]财务部报表_有人事号!$A$2:$D$400,3,0)</f>
        <v>1430</v>
      </c>
      <c r="AN41" s="14">
        <f>VLOOKUP(D41,[1]财务部报表_有人事号!$A$2:$E$400,4,0)</f>
        <v>14.93</v>
      </c>
      <c r="AR41" t="str">
        <f>LOOKUP(D41,[2]contacts!$A$2:$A$400,[2]contacts!$G$2:$G$400)</f>
        <v>gwquan@163.com</v>
      </c>
    </row>
    <row r="42" spans="1:44">
      <c r="A42" s="5" t="s">
        <v>38</v>
      </c>
      <c r="B42" s="6" t="s">
        <v>39</v>
      </c>
      <c r="C42" s="6" t="s">
        <v>40</v>
      </c>
      <c r="D42" s="17" t="s">
        <v>114</v>
      </c>
      <c r="E42" s="6" t="s">
        <v>115</v>
      </c>
      <c r="F42" s="7">
        <v>590</v>
      </c>
      <c r="G42" s="7">
        <v>253</v>
      </c>
      <c r="H42" s="7">
        <v>1864</v>
      </c>
      <c r="I42" s="7">
        <v>56</v>
      </c>
      <c r="J42" s="7">
        <v>20</v>
      </c>
      <c r="K42" s="7">
        <v>0</v>
      </c>
      <c r="L42" s="7">
        <v>21.08</v>
      </c>
      <c r="M42" s="7">
        <v>0</v>
      </c>
      <c r="N42" s="7">
        <v>200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3004.08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2.95</v>
      </c>
      <c r="AA42" s="7">
        <v>0</v>
      </c>
      <c r="AB42" s="7">
        <v>240.53</v>
      </c>
      <c r="AC42" s="7">
        <v>0</v>
      </c>
      <c r="AD42" s="7">
        <v>0</v>
      </c>
      <c r="AE42" s="7">
        <v>536</v>
      </c>
      <c r="AF42" s="7">
        <v>0</v>
      </c>
      <c r="AG42" s="7">
        <v>0</v>
      </c>
      <c r="AH42" s="7">
        <v>779.48</v>
      </c>
      <c r="AI42" s="7">
        <v>2224.81</v>
      </c>
      <c r="AJ42" s="7">
        <v>0.21</v>
      </c>
      <c r="AK42" s="7">
        <v>0.81</v>
      </c>
      <c r="AL42" s="8">
        <v>2224</v>
      </c>
      <c r="AM42" s="14">
        <f>VLOOKUP(D42,[1]财务部报表_有人事号!$A$2:$D$400,3,0)</f>
        <v>1800</v>
      </c>
      <c r="AN42" s="14">
        <f>VLOOKUP(D42,[1]财务部报表_有人事号!$A$2:$E$400,4,0)</f>
        <v>15.19</v>
      </c>
      <c r="AR42" t="str">
        <f>LOOKUP(D42,[2]contacts!$A$2:$A$400,[2]contacts!$G$2:$G$400)</f>
        <v>183275510@QQ.com</v>
      </c>
    </row>
    <row r="43" spans="1:44">
      <c r="A43" s="5" t="s">
        <v>38</v>
      </c>
      <c r="B43" s="6" t="s">
        <v>39</v>
      </c>
      <c r="C43" s="6" t="s">
        <v>40</v>
      </c>
      <c r="D43" s="17" t="s">
        <v>116</v>
      </c>
      <c r="E43" s="6" t="s">
        <v>117</v>
      </c>
      <c r="F43" s="7">
        <v>930</v>
      </c>
      <c r="G43" s="7">
        <v>341</v>
      </c>
      <c r="H43" s="7">
        <v>2376</v>
      </c>
      <c r="I43" s="7">
        <v>56</v>
      </c>
      <c r="J43" s="7">
        <v>0</v>
      </c>
      <c r="K43" s="7">
        <v>0</v>
      </c>
      <c r="L43" s="7">
        <v>31.78</v>
      </c>
      <c r="M43" s="7">
        <v>0</v>
      </c>
      <c r="N43" s="7">
        <v>0</v>
      </c>
      <c r="O43" s="7">
        <v>0</v>
      </c>
      <c r="P43" s="7">
        <v>5</v>
      </c>
      <c r="Q43" s="7">
        <v>0</v>
      </c>
      <c r="R43" s="7">
        <v>0</v>
      </c>
      <c r="S43" s="7">
        <v>0</v>
      </c>
      <c r="T43" s="7">
        <v>3739.78</v>
      </c>
      <c r="U43" s="7">
        <v>0</v>
      </c>
      <c r="V43" s="7">
        <v>0</v>
      </c>
      <c r="W43" s="7">
        <v>0</v>
      </c>
      <c r="X43" s="7">
        <v>12.71</v>
      </c>
      <c r="Y43" s="7">
        <v>0</v>
      </c>
      <c r="Z43" s="7">
        <v>4.6500000000000004</v>
      </c>
      <c r="AA43" s="7">
        <v>0</v>
      </c>
      <c r="AB43" s="7">
        <v>0</v>
      </c>
      <c r="AC43" s="7">
        <v>0</v>
      </c>
      <c r="AD43" s="7">
        <v>0</v>
      </c>
      <c r="AE43" s="7">
        <v>728</v>
      </c>
      <c r="AF43" s="7">
        <v>0</v>
      </c>
      <c r="AG43" s="7">
        <v>0</v>
      </c>
      <c r="AH43" s="7">
        <v>745.36</v>
      </c>
      <c r="AI43" s="7">
        <v>2994.46</v>
      </c>
      <c r="AJ43" s="7">
        <v>0.04</v>
      </c>
      <c r="AK43" s="7">
        <v>0.46</v>
      </c>
      <c r="AL43" s="8">
        <v>2994</v>
      </c>
      <c r="AM43" s="14">
        <f>VLOOKUP(D43,[1]财务部报表_有人事号!$A$2:$D$400,3,0)</f>
        <v>5000</v>
      </c>
      <c r="AN43" s="14">
        <f>VLOOKUP(D43,[1]财务部报表_有人事号!$A$2:$E$400,4,0)</f>
        <v>341.23</v>
      </c>
      <c r="AR43" t="str">
        <f>LOOKUP(D43,[2]contacts!$A$2:$A$400,[2]contacts!$G$2:$G$400)</f>
        <v>liangshs@gmail.com</v>
      </c>
    </row>
    <row r="44" spans="1:44">
      <c r="A44" s="5" t="s">
        <v>38</v>
      </c>
      <c r="B44" s="6" t="s">
        <v>39</v>
      </c>
      <c r="C44" s="6" t="s">
        <v>40</v>
      </c>
      <c r="D44" s="17" t="s">
        <v>118</v>
      </c>
      <c r="E44" s="6" t="s">
        <v>119</v>
      </c>
      <c r="F44" s="7">
        <v>1630</v>
      </c>
      <c r="G44" s="7">
        <v>613</v>
      </c>
      <c r="H44" s="7">
        <v>2961</v>
      </c>
      <c r="I44" s="7">
        <v>56</v>
      </c>
      <c r="J44" s="7">
        <v>0</v>
      </c>
      <c r="K44" s="7">
        <v>0</v>
      </c>
      <c r="L44" s="7">
        <v>1556.08</v>
      </c>
      <c r="M44" s="7">
        <v>0</v>
      </c>
      <c r="N44" s="7">
        <v>0</v>
      </c>
      <c r="O44" s="7">
        <v>0</v>
      </c>
      <c r="P44" s="7">
        <v>5</v>
      </c>
      <c r="Q44" s="7">
        <v>0</v>
      </c>
      <c r="R44" s="7">
        <v>0</v>
      </c>
      <c r="S44" s="7">
        <v>0</v>
      </c>
      <c r="T44" s="7">
        <v>6821.08</v>
      </c>
      <c r="U44" s="7">
        <v>0</v>
      </c>
      <c r="V44" s="7">
        <v>691.6</v>
      </c>
      <c r="W44" s="7">
        <v>24.99</v>
      </c>
      <c r="X44" s="7">
        <v>22.43</v>
      </c>
      <c r="Y44" s="7">
        <v>20.059999999999999</v>
      </c>
      <c r="Z44" s="7">
        <v>8.15</v>
      </c>
      <c r="AA44" s="7">
        <v>0</v>
      </c>
      <c r="AB44" s="7">
        <v>0</v>
      </c>
      <c r="AC44" s="7">
        <v>0</v>
      </c>
      <c r="AD44" s="7">
        <v>0</v>
      </c>
      <c r="AE44" s="7">
        <v>1069</v>
      </c>
      <c r="AF44" s="7">
        <v>0</v>
      </c>
      <c r="AG44" s="7">
        <v>0</v>
      </c>
      <c r="AH44" s="7">
        <v>1836.23</v>
      </c>
      <c r="AI44" s="7">
        <v>4985.67</v>
      </c>
      <c r="AJ44" s="7">
        <v>0.82</v>
      </c>
      <c r="AK44" s="7">
        <v>0.67</v>
      </c>
      <c r="AL44" s="8">
        <v>4985</v>
      </c>
      <c r="AM44" s="14">
        <f>VLOOKUP(D44,[1]财务部报表_有人事号!$A$2:$D$400,3,0)</f>
        <v>7500</v>
      </c>
      <c r="AN44" s="14">
        <f>VLOOKUP(D44,[1]财务部报表_有人事号!$A$2:$E$400,4,0)</f>
        <v>1058.6500000000001</v>
      </c>
      <c r="AR44" t="str">
        <f>LOOKUP(D44,[2]contacts!$A$2:$A$400,[2]contacts!$G$2:$G$400)</f>
        <v>xiajq@whu.edu.cn</v>
      </c>
    </row>
    <row r="45" spans="1:44">
      <c r="A45" s="5" t="s">
        <v>38</v>
      </c>
      <c r="B45" s="6" t="s">
        <v>39</v>
      </c>
      <c r="C45" s="6" t="s">
        <v>40</v>
      </c>
      <c r="D45" s="17" t="s">
        <v>120</v>
      </c>
      <c r="E45" s="6" t="s">
        <v>121</v>
      </c>
      <c r="F45" s="7">
        <v>590</v>
      </c>
      <c r="G45" s="7">
        <v>295</v>
      </c>
      <c r="H45" s="7">
        <v>1864</v>
      </c>
      <c r="I45" s="7">
        <v>56</v>
      </c>
      <c r="J45" s="7">
        <v>20</v>
      </c>
      <c r="K45" s="7">
        <v>0</v>
      </c>
      <c r="L45" s="7">
        <v>22.13</v>
      </c>
      <c r="M45" s="7">
        <v>0</v>
      </c>
      <c r="N45" s="7">
        <v>0</v>
      </c>
      <c r="O45" s="7">
        <v>0</v>
      </c>
      <c r="P45" s="7">
        <v>5</v>
      </c>
      <c r="Q45" s="7">
        <v>0</v>
      </c>
      <c r="R45" s="7">
        <v>0</v>
      </c>
      <c r="S45" s="7">
        <v>0</v>
      </c>
      <c r="T45" s="7">
        <v>2852.13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2.95</v>
      </c>
      <c r="AA45" s="7">
        <v>0</v>
      </c>
      <c r="AB45" s="7">
        <v>244.93</v>
      </c>
      <c r="AC45" s="7">
        <v>0</v>
      </c>
      <c r="AD45" s="7">
        <v>0</v>
      </c>
      <c r="AE45" s="7">
        <v>546</v>
      </c>
      <c r="AF45" s="7">
        <v>0</v>
      </c>
      <c r="AG45" s="7">
        <v>0</v>
      </c>
      <c r="AH45" s="7">
        <v>793.88</v>
      </c>
      <c r="AI45" s="7">
        <v>2058.54</v>
      </c>
      <c r="AJ45" s="7">
        <v>0.28999999999999998</v>
      </c>
      <c r="AK45" s="7">
        <v>0.54</v>
      </c>
      <c r="AL45" s="8">
        <v>2058</v>
      </c>
      <c r="AM45" s="14">
        <f>VLOOKUP(D45,[1]财务部报表_有人事号!$A$2:$D$400,3,0)</f>
        <v>1700</v>
      </c>
      <c r="AN45" s="14">
        <f>VLOOKUP(D45,[1]财务部报表_有人事号!$A$2:$E$400,4,0)</f>
        <v>7.02</v>
      </c>
      <c r="AR45" t="str">
        <f>LOOKUP(D45,[2]contacts!$A$2:$A$400,[2]contacts!$G$2:$G$400)</f>
        <v>hancl@whu.edu.cn</v>
      </c>
    </row>
    <row r="46" spans="1:44">
      <c r="A46" s="5" t="s">
        <v>38</v>
      </c>
      <c r="B46" s="6" t="s">
        <v>39</v>
      </c>
      <c r="C46" s="6" t="s">
        <v>40</v>
      </c>
      <c r="D46" s="17" t="s">
        <v>122</v>
      </c>
      <c r="E46" s="6" t="s">
        <v>123</v>
      </c>
      <c r="F46" s="7">
        <v>620</v>
      </c>
      <c r="G46" s="7">
        <v>253</v>
      </c>
      <c r="H46" s="7">
        <v>1901</v>
      </c>
      <c r="I46" s="7">
        <v>56</v>
      </c>
      <c r="J46" s="7">
        <v>20</v>
      </c>
      <c r="K46" s="7">
        <v>0</v>
      </c>
      <c r="L46" s="7">
        <v>21.83</v>
      </c>
      <c r="M46" s="7">
        <v>0</v>
      </c>
      <c r="N46" s="7">
        <v>0</v>
      </c>
      <c r="O46" s="7">
        <v>0</v>
      </c>
      <c r="P46" s="7">
        <v>5</v>
      </c>
      <c r="Q46" s="7">
        <v>0</v>
      </c>
      <c r="R46" s="7">
        <v>0</v>
      </c>
      <c r="S46" s="7">
        <v>0</v>
      </c>
      <c r="T46" s="7">
        <v>2876.83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3.1</v>
      </c>
      <c r="AA46" s="7">
        <v>0</v>
      </c>
      <c r="AB46" s="7">
        <v>246.58</v>
      </c>
      <c r="AC46" s="7">
        <v>0</v>
      </c>
      <c r="AD46" s="7">
        <v>0</v>
      </c>
      <c r="AE46" s="7">
        <v>550</v>
      </c>
      <c r="AF46" s="7">
        <v>0</v>
      </c>
      <c r="AG46" s="7">
        <v>0</v>
      </c>
      <c r="AH46" s="7">
        <v>799.68</v>
      </c>
      <c r="AI46" s="7">
        <v>2077.61</v>
      </c>
      <c r="AJ46" s="7">
        <v>0.46</v>
      </c>
      <c r="AK46" s="7">
        <v>0.61</v>
      </c>
      <c r="AL46" s="8">
        <v>2077</v>
      </c>
      <c r="AM46" s="14">
        <f>VLOOKUP(D46,[1]财务部报表_有人事号!$A$2:$D$400,3,0)</f>
        <v>1200</v>
      </c>
      <c r="AN46" s="14">
        <f>VLOOKUP(D46,[1]财务部报表_有人事号!$A$2:$E$400,4,0)</f>
        <v>0</v>
      </c>
      <c r="AR46" t="str">
        <f>LOOKUP(D46,[2]contacts!$A$2:$A$400,[2]contacts!$G$2:$G$400)</f>
        <v>hellomuki@tom.com</v>
      </c>
    </row>
    <row r="47" spans="1:44">
      <c r="A47" s="5" t="s">
        <v>38</v>
      </c>
      <c r="B47" s="6" t="s">
        <v>39</v>
      </c>
      <c r="C47" s="6" t="s">
        <v>40</v>
      </c>
      <c r="D47" s="17" t="s">
        <v>124</v>
      </c>
      <c r="E47" s="6" t="s">
        <v>125</v>
      </c>
      <c r="F47" s="7">
        <v>730</v>
      </c>
      <c r="G47" s="7">
        <v>341</v>
      </c>
      <c r="H47" s="7">
        <v>2102</v>
      </c>
      <c r="I47" s="7">
        <v>56</v>
      </c>
      <c r="J47" s="7">
        <v>0</v>
      </c>
      <c r="K47" s="7">
        <v>0</v>
      </c>
      <c r="L47" s="7">
        <v>26.77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3255.77</v>
      </c>
      <c r="U47" s="7">
        <v>0</v>
      </c>
      <c r="V47" s="7">
        <v>0</v>
      </c>
      <c r="W47" s="7">
        <v>0</v>
      </c>
      <c r="X47" s="7">
        <v>10.71</v>
      </c>
      <c r="Y47" s="7">
        <v>0</v>
      </c>
      <c r="Z47" s="7">
        <v>3.65</v>
      </c>
      <c r="AA47" s="7">
        <v>0</v>
      </c>
      <c r="AB47" s="7">
        <v>0</v>
      </c>
      <c r="AC47" s="7">
        <v>0</v>
      </c>
      <c r="AD47" s="7">
        <v>0</v>
      </c>
      <c r="AE47" s="7">
        <v>793</v>
      </c>
      <c r="AF47" s="7">
        <v>0</v>
      </c>
      <c r="AG47" s="7">
        <v>0</v>
      </c>
      <c r="AH47" s="7">
        <v>807.36</v>
      </c>
      <c r="AI47" s="7">
        <v>2449.08</v>
      </c>
      <c r="AJ47" s="7">
        <v>0.67</v>
      </c>
      <c r="AK47" s="7">
        <v>0.08</v>
      </c>
      <c r="AL47" s="8">
        <v>2449</v>
      </c>
      <c r="AM47" s="14">
        <f>VLOOKUP(D47,[1]财务部报表_有人事号!$A$2:$D$400,3,0)</f>
        <v>1600</v>
      </c>
      <c r="AN47" s="14">
        <f>VLOOKUP(D47,[1]财务部报表_有人事号!$A$2:$E$400,4,0)</f>
        <v>15.76</v>
      </c>
      <c r="AR47" t="str">
        <f>LOOKUP(D47,[2]contacts!$A$2:$A$400,[2]contacts!$G$2:$G$400)</f>
        <v xml:space="preserve">chengyg@whu.edu.cn
</v>
      </c>
    </row>
    <row r="48" spans="1:44">
      <c r="A48" s="5" t="s">
        <v>38</v>
      </c>
      <c r="B48" s="6" t="s">
        <v>39</v>
      </c>
      <c r="C48" s="6" t="s">
        <v>40</v>
      </c>
      <c r="D48" s="17" t="s">
        <v>126</v>
      </c>
      <c r="E48" s="6" t="s">
        <v>127</v>
      </c>
      <c r="F48" s="7">
        <v>930</v>
      </c>
      <c r="G48" s="7">
        <v>391</v>
      </c>
      <c r="H48" s="7">
        <v>2376</v>
      </c>
      <c r="I48" s="7">
        <v>56</v>
      </c>
      <c r="J48" s="7">
        <v>0</v>
      </c>
      <c r="K48" s="7">
        <v>0</v>
      </c>
      <c r="L48" s="7">
        <v>33.03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3786.03</v>
      </c>
      <c r="U48" s="7">
        <v>0</v>
      </c>
      <c r="V48" s="7">
        <v>0</v>
      </c>
      <c r="W48" s="7">
        <v>0</v>
      </c>
      <c r="X48" s="7">
        <v>13.21</v>
      </c>
      <c r="Y48" s="7">
        <v>0</v>
      </c>
      <c r="Z48" s="7">
        <v>4.6500000000000004</v>
      </c>
      <c r="AA48" s="7">
        <v>0</v>
      </c>
      <c r="AB48" s="7">
        <v>0</v>
      </c>
      <c r="AC48" s="7">
        <v>0</v>
      </c>
      <c r="AD48" s="7">
        <v>0</v>
      </c>
      <c r="AE48" s="7">
        <v>741</v>
      </c>
      <c r="AF48" s="7">
        <v>0</v>
      </c>
      <c r="AG48" s="7">
        <v>0</v>
      </c>
      <c r="AH48" s="7">
        <v>758.86</v>
      </c>
      <c r="AI48" s="7">
        <v>3027.61</v>
      </c>
      <c r="AJ48" s="7">
        <v>0.44</v>
      </c>
      <c r="AK48" s="7">
        <v>0.61</v>
      </c>
      <c r="AL48" s="8">
        <v>3027</v>
      </c>
      <c r="AM48" s="14">
        <f>VLOOKUP(D48,[1]财务部报表_有人事号!$A$2:$D$400,3,0)</f>
        <v>1950</v>
      </c>
      <c r="AN48" s="14">
        <f>VLOOKUP(D48,[1]财务部报表_有人事号!$A$2:$E$400,4,0)</f>
        <v>43.46</v>
      </c>
      <c r="AR48" t="str">
        <f>LOOKUP(D48,[2]contacts!$A$2:$A$400,[2]contacts!$G$2:$G$400)</f>
        <v>dediliu@163.com</v>
      </c>
    </row>
    <row r="49" spans="1:44">
      <c r="A49" s="5" t="s">
        <v>38</v>
      </c>
      <c r="B49" s="6" t="s">
        <v>39</v>
      </c>
      <c r="C49" s="6" t="s">
        <v>40</v>
      </c>
      <c r="D49" s="17" t="s">
        <v>128</v>
      </c>
      <c r="E49" s="6" t="s">
        <v>129</v>
      </c>
      <c r="F49" s="7">
        <v>680</v>
      </c>
      <c r="G49" s="7">
        <v>317</v>
      </c>
      <c r="H49" s="7">
        <v>2065</v>
      </c>
      <c r="I49" s="7">
        <v>56</v>
      </c>
      <c r="J49" s="7">
        <v>20</v>
      </c>
      <c r="K49" s="7">
        <v>0</v>
      </c>
      <c r="L49" s="7">
        <v>24.93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3162.93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3.4</v>
      </c>
      <c r="AA49" s="7">
        <v>0</v>
      </c>
      <c r="AB49" s="7">
        <v>272.10000000000002</v>
      </c>
      <c r="AC49" s="7">
        <v>0</v>
      </c>
      <c r="AD49" s="7">
        <v>0</v>
      </c>
      <c r="AE49" s="7">
        <v>608</v>
      </c>
      <c r="AF49" s="7">
        <v>0</v>
      </c>
      <c r="AG49" s="7">
        <v>0</v>
      </c>
      <c r="AH49" s="7">
        <v>883.5</v>
      </c>
      <c r="AI49" s="7">
        <v>2279.7199999999998</v>
      </c>
      <c r="AJ49" s="7">
        <v>0.28999999999999998</v>
      </c>
      <c r="AK49" s="7">
        <v>0.72</v>
      </c>
      <c r="AL49" s="8">
        <v>2279</v>
      </c>
      <c r="AM49" s="14">
        <f>VLOOKUP(D49,[1]财务部报表_有人事号!$A$2:$D$400,3,0)</f>
        <v>1280</v>
      </c>
      <c r="AN49" s="14">
        <f>VLOOKUP(D49,[1]财务部报表_有人事号!$A$2:$E$400,4,0)</f>
        <v>1.1399999999999999</v>
      </c>
      <c r="AR49" t="str">
        <f>LOOKUP(D49,[2]contacts!$A$2:$A$400,[2]contacts!$G$2:$G$400)</f>
        <v>44320093@qq.com</v>
      </c>
    </row>
    <row r="50" spans="1:44">
      <c r="A50" s="5" t="s">
        <v>38</v>
      </c>
      <c r="B50" s="6" t="s">
        <v>39</v>
      </c>
      <c r="C50" s="6" t="s">
        <v>40</v>
      </c>
      <c r="D50" s="17" t="s">
        <v>130</v>
      </c>
      <c r="E50" s="6" t="s">
        <v>131</v>
      </c>
      <c r="F50" s="7">
        <v>620</v>
      </c>
      <c r="G50" s="7">
        <v>233</v>
      </c>
      <c r="H50" s="7">
        <v>1901</v>
      </c>
      <c r="I50" s="7">
        <v>56</v>
      </c>
      <c r="J50" s="7">
        <v>0</v>
      </c>
      <c r="K50" s="7">
        <v>0</v>
      </c>
      <c r="L50" s="7">
        <v>21.33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2831.33</v>
      </c>
      <c r="U50" s="7">
        <v>0</v>
      </c>
      <c r="V50" s="7">
        <v>114</v>
      </c>
      <c r="W50" s="7">
        <v>0</v>
      </c>
      <c r="X50" s="7">
        <v>0</v>
      </c>
      <c r="Y50" s="7">
        <v>0</v>
      </c>
      <c r="Z50" s="7">
        <v>3.1</v>
      </c>
      <c r="AA50" s="7">
        <v>0</v>
      </c>
      <c r="AB50" s="7">
        <v>244.6</v>
      </c>
      <c r="AC50" s="7">
        <v>0</v>
      </c>
      <c r="AD50" s="7">
        <v>0</v>
      </c>
      <c r="AE50" s="7">
        <v>545</v>
      </c>
      <c r="AF50" s="7">
        <v>0</v>
      </c>
      <c r="AG50" s="7">
        <v>0</v>
      </c>
      <c r="AH50" s="7">
        <v>906.7</v>
      </c>
      <c r="AI50" s="7">
        <v>1925.51</v>
      </c>
      <c r="AJ50" s="7">
        <v>0.88</v>
      </c>
      <c r="AK50" s="7">
        <v>0.51</v>
      </c>
      <c r="AL50" s="8">
        <v>1925</v>
      </c>
      <c r="AM50" s="14">
        <f>VLOOKUP(D50,[1]财务部报表_有人事号!$A$2:$D$400,3,0)</f>
        <v>1200</v>
      </c>
      <c r="AN50" s="14">
        <f>VLOOKUP(D50,[1]财务部报表_有人事号!$A$2:$E$400,4,0)</f>
        <v>0</v>
      </c>
      <c r="AR50" t="str">
        <f>LOOKUP(D50,[2]contacts!$A$2:$A$400,[2]contacts!$G$2:$G$400)</f>
        <v>00009682@whu.edu.cn</v>
      </c>
    </row>
    <row r="51" spans="1:44">
      <c r="A51" s="5" t="s">
        <v>38</v>
      </c>
      <c r="B51" s="6" t="s">
        <v>39</v>
      </c>
      <c r="C51" s="6" t="s">
        <v>40</v>
      </c>
      <c r="D51" s="17" t="s">
        <v>132</v>
      </c>
      <c r="E51" s="6" t="s">
        <v>133</v>
      </c>
      <c r="F51" s="7">
        <v>590</v>
      </c>
      <c r="G51" s="7">
        <v>233</v>
      </c>
      <c r="H51" s="7">
        <v>1864</v>
      </c>
      <c r="I51" s="7">
        <v>56</v>
      </c>
      <c r="J51" s="7">
        <v>0</v>
      </c>
      <c r="K51" s="7">
        <v>0</v>
      </c>
      <c r="L51" s="7">
        <v>20.58</v>
      </c>
      <c r="M51" s="7">
        <v>0</v>
      </c>
      <c r="N51" s="7">
        <v>200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2963.58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2.95</v>
      </c>
      <c r="AA51" s="7">
        <v>0</v>
      </c>
      <c r="AB51" s="7">
        <v>238.55</v>
      </c>
      <c r="AC51" s="7">
        <v>0</v>
      </c>
      <c r="AD51" s="7">
        <v>0</v>
      </c>
      <c r="AE51" s="7">
        <v>531</v>
      </c>
      <c r="AF51" s="7">
        <v>0</v>
      </c>
      <c r="AG51" s="7">
        <v>0</v>
      </c>
      <c r="AH51" s="7">
        <v>772.5</v>
      </c>
      <c r="AI51" s="7">
        <v>2191.88</v>
      </c>
      <c r="AJ51" s="7">
        <v>0.8</v>
      </c>
      <c r="AK51" s="7">
        <v>0.88</v>
      </c>
      <c r="AL51" s="8">
        <v>2191</v>
      </c>
      <c r="AM51" s="14">
        <f>VLOOKUP(D51,[1]财务部报表_有人事号!$A$2:$D$400,3,0)</f>
        <v>1800</v>
      </c>
      <c r="AN51" s="14">
        <f>VLOOKUP(D51,[1]财务部报表_有人事号!$A$2:$E$400,4,0)</f>
        <v>14.2</v>
      </c>
      <c r="AR51" t="str">
        <f>LOOKUP(D51,[2]contacts!$A$2:$A$400,[2]contacts!$G$2:$G$400)</f>
        <v>zhongjie_han@163.com</v>
      </c>
    </row>
    <row r="52" spans="1:44">
      <c r="A52" s="5" t="s">
        <v>38</v>
      </c>
      <c r="B52" s="6" t="s">
        <v>39</v>
      </c>
      <c r="C52" s="6" t="s">
        <v>40</v>
      </c>
      <c r="D52" s="17" t="s">
        <v>134</v>
      </c>
      <c r="E52" s="6" t="s">
        <v>135</v>
      </c>
      <c r="F52" s="7">
        <v>590</v>
      </c>
      <c r="G52" s="7">
        <v>233</v>
      </c>
      <c r="H52" s="7">
        <v>1864</v>
      </c>
      <c r="I52" s="7">
        <v>56</v>
      </c>
      <c r="J52" s="7">
        <v>20</v>
      </c>
      <c r="K52" s="7">
        <v>0</v>
      </c>
      <c r="L52" s="7">
        <v>20.58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2783.58</v>
      </c>
      <c r="U52" s="7">
        <v>30</v>
      </c>
      <c r="V52" s="7">
        <v>0</v>
      </c>
      <c r="W52" s="7">
        <v>0</v>
      </c>
      <c r="X52" s="7">
        <v>0</v>
      </c>
      <c r="Y52" s="7">
        <v>0</v>
      </c>
      <c r="Z52" s="7">
        <v>2.95</v>
      </c>
      <c r="AA52" s="7">
        <v>0</v>
      </c>
      <c r="AB52" s="7">
        <v>238.55</v>
      </c>
      <c r="AC52" s="7">
        <v>0</v>
      </c>
      <c r="AD52" s="7">
        <v>0</v>
      </c>
      <c r="AE52" s="7">
        <v>531</v>
      </c>
      <c r="AF52" s="7">
        <v>0</v>
      </c>
      <c r="AG52" s="7">
        <v>0</v>
      </c>
      <c r="AH52" s="7">
        <v>802.5</v>
      </c>
      <c r="AI52" s="7">
        <v>1981.18</v>
      </c>
      <c r="AJ52" s="7">
        <v>0.1</v>
      </c>
      <c r="AK52" s="7">
        <v>0.18</v>
      </c>
      <c r="AL52" s="8">
        <v>1981</v>
      </c>
      <c r="AM52" s="14">
        <f>VLOOKUP(D52,[1]财务部报表_有人事号!$A$2:$D$400,3,0)</f>
        <v>1700</v>
      </c>
      <c r="AN52" s="14">
        <f>VLOOKUP(D52,[1]财务部报表_有人事号!$A$2:$E$400,4,0)</f>
        <v>5.8</v>
      </c>
      <c r="AR52" t="str">
        <f>LOOKUP(D52,[2]contacts!$A$2:$A$400,[2]contacts!$G$2:$G$400)</f>
        <v>zhongjie_han@163.com</v>
      </c>
    </row>
    <row r="53" spans="1:44">
      <c r="A53" s="5" t="s">
        <v>38</v>
      </c>
      <c r="B53" s="6" t="s">
        <v>39</v>
      </c>
      <c r="C53" s="6" t="s">
        <v>40</v>
      </c>
      <c r="D53" s="17" t="s">
        <v>136</v>
      </c>
      <c r="E53" s="6" t="s">
        <v>137</v>
      </c>
      <c r="F53" s="7">
        <v>730</v>
      </c>
      <c r="G53" s="7">
        <v>341</v>
      </c>
      <c r="H53" s="7">
        <v>2102</v>
      </c>
      <c r="I53" s="7">
        <v>56</v>
      </c>
      <c r="J53" s="7">
        <v>20</v>
      </c>
      <c r="K53" s="7">
        <v>0</v>
      </c>
      <c r="L53" s="7">
        <v>26.77</v>
      </c>
      <c r="M53" s="7">
        <v>0</v>
      </c>
      <c r="N53" s="7">
        <v>0</v>
      </c>
      <c r="O53" s="7">
        <v>0</v>
      </c>
      <c r="P53" s="7">
        <v>5</v>
      </c>
      <c r="Q53" s="7">
        <v>0</v>
      </c>
      <c r="R53" s="7">
        <v>0</v>
      </c>
      <c r="S53" s="7">
        <v>0</v>
      </c>
      <c r="T53" s="7">
        <v>3280.77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  <c r="Z53" s="7">
        <v>3.65</v>
      </c>
      <c r="AA53" s="7">
        <v>0</v>
      </c>
      <c r="AB53" s="7">
        <v>269.68</v>
      </c>
      <c r="AC53" s="7">
        <v>0</v>
      </c>
      <c r="AD53" s="7">
        <v>0</v>
      </c>
      <c r="AE53" s="7">
        <v>793</v>
      </c>
      <c r="AF53" s="7">
        <v>0</v>
      </c>
      <c r="AG53" s="7">
        <v>0</v>
      </c>
      <c r="AH53" s="7">
        <v>1066.33</v>
      </c>
      <c r="AI53" s="7">
        <v>2215.11</v>
      </c>
      <c r="AJ53" s="7">
        <v>0.67</v>
      </c>
      <c r="AK53" s="7">
        <v>0.11</v>
      </c>
      <c r="AL53" s="8">
        <v>2215</v>
      </c>
      <c r="AM53" s="14">
        <f>VLOOKUP(D53,[1]财务部报表_有人事号!$A$2:$D$400,3,0)</f>
        <v>1600</v>
      </c>
      <c r="AN53" s="14">
        <f>VLOOKUP(D53,[1]财务部报表_有人事号!$A$2:$E$400,4,0)</f>
        <v>8.59</v>
      </c>
      <c r="AR53" t="str">
        <f>LOOKUP(D53,[2]contacts!$A$2:$A$400,[2]contacts!$G$2:$G$400)</f>
        <v>00009739@whu.edu.cn</v>
      </c>
    </row>
    <row r="54" spans="1:44">
      <c r="A54" s="5" t="s">
        <v>38</v>
      </c>
      <c r="B54" s="6" t="s">
        <v>39</v>
      </c>
      <c r="C54" s="6" t="s">
        <v>40</v>
      </c>
      <c r="D54" s="17" t="s">
        <v>138</v>
      </c>
      <c r="E54" s="6" t="s">
        <v>139</v>
      </c>
      <c r="F54" s="7">
        <v>930</v>
      </c>
      <c r="G54" s="7">
        <v>391</v>
      </c>
      <c r="H54" s="7">
        <v>2376</v>
      </c>
      <c r="I54" s="7">
        <v>56</v>
      </c>
      <c r="J54" s="7">
        <v>0</v>
      </c>
      <c r="K54" s="7">
        <v>0</v>
      </c>
      <c r="L54" s="7">
        <v>33.03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3786.03</v>
      </c>
      <c r="U54" s="7">
        <v>1116</v>
      </c>
      <c r="V54" s="7">
        <v>0</v>
      </c>
      <c r="W54" s="7">
        <v>0</v>
      </c>
      <c r="X54" s="7">
        <v>13.21</v>
      </c>
      <c r="Y54" s="7">
        <v>0</v>
      </c>
      <c r="Z54" s="7">
        <v>4.6500000000000004</v>
      </c>
      <c r="AA54" s="7">
        <v>0</v>
      </c>
      <c r="AB54" s="7">
        <v>0</v>
      </c>
      <c r="AC54" s="7">
        <v>0</v>
      </c>
      <c r="AD54" s="7">
        <v>0</v>
      </c>
      <c r="AE54" s="7">
        <v>741</v>
      </c>
      <c r="AF54" s="7">
        <v>0</v>
      </c>
      <c r="AG54" s="7">
        <v>0</v>
      </c>
      <c r="AH54" s="7">
        <v>1874.86</v>
      </c>
      <c r="AI54" s="7">
        <v>1911.53</v>
      </c>
      <c r="AJ54" s="7">
        <v>0.36</v>
      </c>
      <c r="AK54" s="7">
        <v>0.53</v>
      </c>
      <c r="AL54" s="8">
        <v>1911</v>
      </c>
      <c r="AM54" s="14">
        <f>VLOOKUP(D54,[1]财务部报表_有人事号!$A$2:$D$400,3,0)</f>
        <v>1950</v>
      </c>
      <c r="AN54" s="14">
        <f>VLOOKUP(D54,[1]财务部报表_有人事号!$A$2:$E$400,4,0)</f>
        <v>43.46</v>
      </c>
      <c r="AR54" t="str">
        <f>LOOKUP(D54,[2]contacts!$A$2:$A$400,[2]contacts!$G$2:$G$400)</f>
        <v>pyanwhu@whu.edu.cn</v>
      </c>
    </row>
    <row r="55" spans="1:44">
      <c r="A55" s="5" t="s">
        <v>38</v>
      </c>
      <c r="B55" s="6" t="s">
        <v>39</v>
      </c>
      <c r="C55" s="6" t="s">
        <v>40</v>
      </c>
      <c r="D55" s="17" t="s">
        <v>140</v>
      </c>
      <c r="E55" s="6" t="s">
        <v>141</v>
      </c>
      <c r="F55" s="7">
        <v>730</v>
      </c>
      <c r="G55" s="7">
        <v>341</v>
      </c>
      <c r="H55" s="7">
        <v>2102</v>
      </c>
      <c r="I55" s="7">
        <v>56</v>
      </c>
      <c r="J55" s="7">
        <v>0</v>
      </c>
      <c r="K55" s="7">
        <v>0</v>
      </c>
      <c r="L55" s="7">
        <v>26.77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3255.77</v>
      </c>
      <c r="U55" s="7">
        <v>0</v>
      </c>
      <c r="V55" s="7">
        <v>0</v>
      </c>
      <c r="W55" s="7">
        <v>0</v>
      </c>
      <c r="X55" s="7">
        <v>10.71</v>
      </c>
      <c r="Y55" s="7">
        <v>0</v>
      </c>
      <c r="Z55" s="7">
        <v>3.65</v>
      </c>
      <c r="AA55" s="7">
        <v>0</v>
      </c>
      <c r="AB55" s="7">
        <v>0</v>
      </c>
      <c r="AC55" s="7">
        <v>0</v>
      </c>
      <c r="AD55" s="7">
        <v>0</v>
      </c>
      <c r="AE55" s="7">
        <v>793</v>
      </c>
      <c r="AF55" s="7">
        <v>0</v>
      </c>
      <c r="AG55" s="7">
        <v>0</v>
      </c>
      <c r="AH55" s="7">
        <v>807.36</v>
      </c>
      <c r="AI55" s="7">
        <v>2448.9</v>
      </c>
      <c r="AJ55" s="7">
        <v>0.49</v>
      </c>
      <c r="AK55" s="7">
        <v>0.9</v>
      </c>
      <c r="AL55" s="8">
        <v>2448</v>
      </c>
      <c r="AM55" s="14">
        <f>VLOOKUP(D55,[1]财务部报表_有人事号!$A$2:$D$400,3,0)</f>
        <v>1580</v>
      </c>
      <c r="AN55" s="14">
        <f>VLOOKUP(D55,[1]财务部报表_有人事号!$A$2:$E$400,4,0)</f>
        <v>15.16</v>
      </c>
      <c r="AR55" t="str">
        <f>LOOKUP(D55,[2]contacts!$A$2:$A$400,[2]contacts!$G$2:$G$400)</f>
        <v>75992435@qq.com</v>
      </c>
    </row>
    <row r="56" spans="1:44">
      <c r="A56" s="5" t="s">
        <v>38</v>
      </c>
      <c r="B56" s="6" t="s">
        <v>39</v>
      </c>
      <c r="C56" s="6" t="s">
        <v>40</v>
      </c>
      <c r="D56" s="17" t="s">
        <v>142</v>
      </c>
      <c r="E56" s="6" t="s">
        <v>143</v>
      </c>
      <c r="F56" s="7">
        <v>730</v>
      </c>
      <c r="G56" s="7">
        <v>317</v>
      </c>
      <c r="H56" s="7">
        <v>2102</v>
      </c>
      <c r="I56" s="7">
        <v>56</v>
      </c>
      <c r="J56" s="7">
        <v>0</v>
      </c>
      <c r="K56" s="7">
        <v>0</v>
      </c>
      <c r="L56" s="7">
        <v>26.18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3231.18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3231.32</v>
      </c>
      <c r="AJ56" s="7">
        <v>0.14000000000000001</v>
      </c>
      <c r="AK56" s="7">
        <v>0.32</v>
      </c>
      <c r="AL56" s="8">
        <v>3231</v>
      </c>
      <c r="AM56" s="14">
        <f>VLOOKUP(D56,[1]财务部报表_有人事号!$A$2:$D$400,3,0)</f>
        <v>1600</v>
      </c>
      <c r="AN56" s="14">
        <f>VLOOKUP(D56,[1]财务部报表_有人事号!$A$2:$E$400,4,0)</f>
        <v>39.15</v>
      </c>
      <c r="AR56" t="str">
        <f>LOOKUP(D56,[2]contacts!$A$2:$A$400,[2]contacts!$G$2:$G$400)</f>
        <v>00009934@whu.edu.cn</v>
      </c>
    </row>
    <row r="57" spans="1:44">
      <c r="A57" s="5" t="s">
        <v>38</v>
      </c>
      <c r="B57" s="6" t="s">
        <v>39</v>
      </c>
      <c r="C57" s="6" t="s">
        <v>40</v>
      </c>
      <c r="D57" s="17" t="s">
        <v>144</v>
      </c>
      <c r="E57" s="6" t="s">
        <v>145</v>
      </c>
      <c r="F57" s="7">
        <v>590</v>
      </c>
      <c r="G57" s="7">
        <v>215</v>
      </c>
      <c r="H57" s="7">
        <v>1864</v>
      </c>
      <c r="I57" s="7">
        <v>56</v>
      </c>
      <c r="J57" s="7">
        <v>20</v>
      </c>
      <c r="K57" s="7">
        <v>0</v>
      </c>
      <c r="L57" s="7">
        <v>20.13</v>
      </c>
      <c r="M57" s="7">
        <v>0</v>
      </c>
      <c r="N57" s="7">
        <v>200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2965.13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2.95</v>
      </c>
      <c r="AA57" s="7">
        <v>0</v>
      </c>
      <c r="AB57" s="7">
        <v>238.55</v>
      </c>
      <c r="AC57" s="7">
        <v>0</v>
      </c>
      <c r="AD57" s="7">
        <v>0</v>
      </c>
      <c r="AE57" s="7">
        <v>526</v>
      </c>
      <c r="AF57" s="7">
        <v>0</v>
      </c>
      <c r="AG57" s="7">
        <v>0</v>
      </c>
      <c r="AH57" s="7">
        <v>767.5</v>
      </c>
      <c r="AI57" s="7">
        <v>2198.2399999999998</v>
      </c>
      <c r="AJ57" s="7">
        <v>0.61</v>
      </c>
      <c r="AK57" s="7">
        <v>0.24</v>
      </c>
      <c r="AL57" s="8">
        <v>2198</v>
      </c>
      <c r="AM57" s="14">
        <f>VLOOKUP(D57,[1]财务部报表_有人事号!$A$2:$D$400,3,0)</f>
        <v>1800</v>
      </c>
      <c r="AN57" s="14">
        <f>VLOOKUP(D57,[1]财务部报表_有人事号!$A$2:$E$400,4,0)</f>
        <v>14.41</v>
      </c>
      <c r="AR57" t="str">
        <f>LOOKUP(D57,[2]contacts!$A$2:$A$400,[2]contacts!$G$2:$G$400)</f>
        <v>82040659@qq.com</v>
      </c>
    </row>
    <row r="58" spans="1:44">
      <c r="A58" s="5" t="s">
        <v>38</v>
      </c>
      <c r="B58" s="6" t="s">
        <v>39</v>
      </c>
      <c r="C58" s="6" t="s">
        <v>40</v>
      </c>
      <c r="D58" s="17" t="s">
        <v>146</v>
      </c>
      <c r="E58" s="6" t="s">
        <v>147</v>
      </c>
      <c r="F58" s="7">
        <v>1040</v>
      </c>
      <c r="G58" s="7">
        <v>799</v>
      </c>
      <c r="H58" s="7">
        <v>2413</v>
      </c>
      <c r="I58" s="7">
        <v>56</v>
      </c>
      <c r="J58" s="7">
        <v>0</v>
      </c>
      <c r="K58" s="7">
        <v>0</v>
      </c>
      <c r="L58" s="7">
        <v>45.98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4353.9799999999996</v>
      </c>
      <c r="U58" s="7">
        <v>0</v>
      </c>
      <c r="V58" s="7">
        <v>7.6</v>
      </c>
      <c r="W58" s="7">
        <v>135.66</v>
      </c>
      <c r="X58" s="7">
        <v>18.39</v>
      </c>
      <c r="Y58" s="7">
        <v>0</v>
      </c>
      <c r="Z58" s="7">
        <v>5.2</v>
      </c>
      <c r="AA58" s="7">
        <v>0</v>
      </c>
      <c r="AB58" s="7">
        <v>0</v>
      </c>
      <c r="AC58" s="7">
        <v>0</v>
      </c>
      <c r="AD58" s="7">
        <v>0</v>
      </c>
      <c r="AE58" s="7">
        <v>876</v>
      </c>
      <c r="AF58" s="7">
        <v>0</v>
      </c>
      <c r="AG58" s="7">
        <v>0</v>
      </c>
      <c r="AH58" s="7">
        <v>1042.8499999999999</v>
      </c>
      <c r="AI58" s="7">
        <v>3311.22</v>
      </c>
      <c r="AJ58" s="7">
        <v>0.09</v>
      </c>
      <c r="AK58" s="7">
        <v>0.22</v>
      </c>
      <c r="AL58" s="8">
        <v>3311</v>
      </c>
      <c r="AM58" s="14">
        <f>VLOOKUP(D58,[1]财务部报表_有人事号!$A$2:$D$400,3,0)</f>
        <v>2100</v>
      </c>
      <c r="AN58" s="14">
        <f>VLOOKUP(D58,[1]财务部报表_有人事号!$A$2:$E$400,4,0)</f>
        <v>96.36</v>
      </c>
      <c r="AR58" t="str">
        <f>LOOKUP(D58,[2]contacts!$A$2:$A$400,[2]contacts!$G$2:$G$400)</f>
        <v>wb_whu@263.net</v>
      </c>
    </row>
    <row r="59" spans="1:44">
      <c r="A59" s="5" t="s">
        <v>38</v>
      </c>
      <c r="B59" s="6" t="s">
        <v>39</v>
      </c>
      <c r="C59" s="6" t="s">
        <v>40</v>
      </c>
      <c r="D59" s="17" t="s">
        <v>148</v>
      </c>
      <c r="E59" s="6" t="s">
        <v>149</v>
      </c>
      <c r="F59" s="7">
        <v>1630</v>
      </c>
      <c r="G59" s="7">
        <v>1244</v>
      </c>
      <c r="H59" s="7">
        <v>2961</v>
      </c>
      <c r="I59" s="7">
        <v>56</v>
      </c>
      <c r="J59" s="7">
        <v>0</v>
      </c>
      <c r="K59" s="7">
        <v>0</v>
      </c>
      <c r="L59" s="7">
        <v>71.849999999999994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5962.85</v>
      </c>
      <c r="U59" s="7">
        <v>0</v>
      </c>
      <c r="V59" s="7">
        <v>81.7</v>
      </c>
      <c r="W59" s="7">
        <v>110.07</v>
      </c>
      <c r="X59" s="7">
        <v>28.74</v>
      </c>
      <c r="Y59" s="7">
        <v>34.06</v>
      </c>
      <c r="Z59" s="7">
        <v>8.15</v>
      </c>
      <c r="AA59" s="7">
        <v>0</v>
      </c>
      <c r="AB59" s="7">
        <v>0</v>
      </c>
      <c r="AC59" s="7">
        <v>0</v>
      </c>
      <c r="AD59" s="7">
        <v>0</v>
      </c>
      <c r="AE59" s="7">
        <v>1227</v>
      </c>
      <c r="AF59" s="7">
        <v>0</v>
      </c>
      <c r="AG59" s="7">
        <v>0</v>
      </c>
      <c r="AH59" s="7">
        <v>1489.72</v>
      </c>
      <c r="AI59" s="7">
        <v>4473.78</v>
      </c>
      <c r="AJ59" s="7">
        <v>0.65</v>
      </c>
      <c r="AK59" s="7">
        <v>0.78</v>
      </c>
      <c r="AL59" s="8">
        <v>4473</v>
      </c>
      <c r="AM59" s="14">
        <f>VLOOKUP(D59,[1]财务部报表_有人事号!$A$2:$D$400,3,0)</f>
        <v>4150</v>
      </c>
      <c r="AN59" s="14">
        <f>VLOOKUP(D59,[1]财务部报表_有人事号!$A$2:$E$400,4,0)</f>
        <v>467.99</v>
      </c>
      <c r="AR59" t="str">
        <f>LOOKUP(D59,[2]contacts!$A$2:$A$400,[2]contacts!$G$2:$G$400)</f>
        <v>duanyahui@263.net</v>
      </c>
    </row>
    <row r="60" spans="1:44">
      <c r="A60" s="5" t="s">
        <v>38</v>
      </c>
      <c r="B60" s="6" t="s">
        <v>39</v>
      </c>
      <c r="C60" s="6" t="s">
        <v>40</v>
      </c>
      <c r="D60" s="17" t="s">
        <v>150</v>
      </c>
      <c r="E60" s="6" t="s">
        <v>151</v>
      </c>
      <c r="F60" s="7">
        <v>1180</v>
      </c>
      <c r="G60" s="7">
        <v>944</v>
      </c>
      <c r="H60" s="7">
        <v>2468</v>
      </c>
      <c r="I60" s="7">
        <v>56</v>
      </c>
      <c r="J60" s="7">
        <v>0</v>
      </c>
      <c r="K60" s="7">
        <v>0</v>
      </c>
      <c r="L60" s="7">
        <v>53.1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4701.1000000000004</v>
      </c>
      <c r="U60" s="7">
        <v>0</v>
      </c>
      <c r="V60" s="7">
        <v>0</v>
      </c>
      <c r="W60" s="7">
        <v>0</v>
      </c>
      <c r="X60" s="7">
        <v>21.24</v>
      </c>
      <c r="Y60" s="7">
        <v>5.09</v>
      </c>
      <c r="Z60" s="7">
        <v>5.9</v>
      </c>
      <c r="AA60" s="7">
        <v>0</v>
      </c>
      <c r="AB60" s="7">
        <v>0</v>
      </c>
      <c r="AC60" s="7">
        <v>0</v>
      </c>
      <c r="AD60" s="7">
        <v>0</v>
      </c>
      <c r="AE60" s="7">
        <v>957</v>
      </c>
      <c r="AF60" s="7">
        <v>0</v>
      </c>
      <c r="AG60" s="7">
        <v>0</v>
      </c>
      <c r="AH60" s="7">
        <v>989.23</v>
      </c>
      <c r="AI60" s="7">
        <v>3712.29</v>
      </c>
      <c r="AJ60" s="7">
        <v>0.42</v>
      </c>
      <c r="AK60" s="7">
        <v>0.28999999999999998</v>
      </c>
      <c r="AL60" s="8">
        <v>3712</v>
      </c>
      <c r="AM60" s="14">
        <f>VLOOKUP(D60,[1]财务部报表_有人事号!$A$2:$D$400,3,0)</f>
        <v>2300</v>
      </c>
      <c r="AN60" s="14">
        <f>VLOOKUP(D60,[1]财务部报表_有人事号!$A$2:$E$400,4,0)</f>
        <v>136.88999999999999</v>
      </c>
      <c r="AR60" t="str">
        <f>LOOKUP(D60,[2]contacts!$A$2:$A$400,[2]contacts!$G$2:$G$400)</f>
        <v>wenquanliang@163.com</v>
      </c>
    </row>
    <row r="61" spans="1:44">
      <c r="A61" s="5" t="s">
        <v>38</v>
      </c>
      <c r="B61" s="6" t="s">
        <v>39</v>
      </c>
      <c r="C61" s="6" t="s">
        <v>40</v>
      </c>
      <c r="D61" s="17" t="s">
        <v>152</v>
      </c>
      <c r="E61" s="6" t="s">
        <v>153</v>
      </c>
      <c r="F61" s="7">
        <v>1040</v>
      </c>
      <c r="G61" s="7">
        <v>869</v>
      </c>
      <c r="H61" s="7">
        <v>2413</v>
      </c>
      <c r="I61" s="7">
        <v>56</v>
      </c>
      <c r="J61" s="7">
        <v>0</v>
      </c>
      <c r="K61" s="7">
        <v>0</v>
      </c>
      <c r="L61" s="7">
        <v>47.73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4425.7299999999996</v>
      </c>
      <c r="U61" s="7">
        <v>0</v>
      </c>
      <c r="V61" s="7">
        <v>114</v>
      </c>
      <c r="W61" s="7">
        <v>19.63</v>
      </c>
      <c r="X61" s="7">
        <v>19.09</v>
      </c>
      <c r="Y61" s="7">
        <v>0</v>
      </c>
      <c r="Z61" s="7">
        <v>5.2</v>
      </c>
      <c r="AA61" s="7">
        <v>0</v>
      </c>
      <c r="AB61" s="7">
        <v>0</v>
      </c>
      <c r="AC61" s="7">
        <v>0</v>
      </c>
      <c r="AD61" s="7">
        <v>0</v>
      </c>
      <c r="AE61" s="7">
        <v>894</v>
      </c>
      <c r="AF61" s="7">
        <v>0</v>
      </c>
      <c r="AG61" s="7">
        <v>0</v>
      </c>
      <c r="AH61" s="7">
        <v>1051.92</v>
      </c>
      <c r="AI61" s="7">
        <v>3374.1</v>
      </c>
      <c r="AJ61" s="7">
        <v>0.28999999999999998</v>
      </c>
      <c r="AK61" s="7">
        <v>0.1</v>
      </c>
      <c r="AL61" s="8">
        <v>3374</v>
      </c>
      <c r="AM61" s="14">
        <f>VLOOKUP(D61,[1]财务部报表_有人事号!$A$2:$D$400,3,0)</f>
        <v>2100</v>
      </c>
      <c r="AN61" s="14">
        <f>VLOOKUP(D61,[1]财务部报表_有人事号!$A$2:$E$400,4,0)</f>
        <v>101.49</v>
      </c>
      <c r="AR61" t="str">
        <f>LOOKUP(D61,[2]contacts!$A$2:$A$400,[2]contacts!$G$2:$G$400)</f>
        <v>hbwhsys@126.com</v>
      </c>
    </row>
    <row r="62" spans="1:44">
      <c r="A62" s="5" t="s">
        <v>38</v>
      </c>
      <c r="B62" s="6" t="s">
        <v>39</v>
      </c>
      <c r="C62" s="6" t="s">
        <v>40</v>
      </c>
      <c r="D62" s="17" t="s">
        <v>154</v>
      </c>
      <c r="E62" s="6" t="s">
        <v>155</v>
      </c>
      <c r="F62" s="7">
        <v>1040</v>
      </c>
      <c r="G62" s="7">
        <v>613</v>
      </c>
      <c r="H62" s="7">
        <v>2413</v>
      </c>
      <c r="I62" s="7">
        <v>56</v>
      </c>
      <c r="J62" s="7">
        <v>0</v>
      </c>
      <c r="K62" s="7">
        <v>0</v>
      </c>
      <c r="L62" s="7">
        <v>41.33</v>
      </c>
      <c r="M62" s="7">
        <v>0</v>
      </c>
      <c r="N62" s="7">
        <v>0</v>
      </c>
      <c r="O62" s="7">
        <v>0</v>
      </c>
      <c r="P62" s="7">
        <v>5</v>
      </c>
      <c r="Q62" s="7">
        <v>0</v>
      </c>
      <c r="R62" s="7">
        <v>0</v>
      </c>
      <c r="S62" s="7">
        <v>0</v>
      </c>
      <c r="T62" s="7">
        <v>4168.33</v>
      </c>
      <c r="U62" s="7">
        <v>0</v>
      </c>
      <c r="V62" s="7">
        <v>649.79999999999995</v>
      </c>
      <c r="W62" s="7">
        <v>554.54</v>
      </c>
      <c r="X62" s="7">
        <v>16.53</v>
      </c>
      <c r="Y62" s="7">
        <v>0</v>
      </c>
      <c r="Z62" s="7">
        <v>5.2</v>
      </c>
      <c r="AA62" s="7">
        <v>0</v>
      </c>
      <c r="AB62" s="7">
        <v>0</v>
      </c>
      <c r="AC62" s="7">
        <v>0</v>
      </c>
      <c r="AD62" s="7">
        <v>0</v>
      </c>
      <c r="AE62" s="7">
        <v>830</v>
      </c>
      <c r="AF62" s="7">
        <v>0</v>
      </c>
      <c r="AG62" s="7">
        <v>0</v>
      </c>
      <c r="AH62" s="7">
        <v>2056.0700000000002</v>
      </c>
      <c r="AI62" s="7">
        <v>2112.54</v>
      </c>
      <c r="AJ62" s="7">
        <v>0.28000000000000003</v>
      </c>
      <c r="AK62" s="7">
        <v>0.54</v>
      </c>
      <c r="AL62" s="8">
        <v>2112</v>
      </c>
      <c r="AM62" s="14">
        <f>VLOOKUP(D62,[1]财务部报表_有人事号!$A$2:$D$400,3,0)</f>
        <v>2100</v>
      </c>
      <c r="AN62" s="14">
        <f>VLOOKUP(D62,[1]财务部报表_有人事号!$A$2:$E$400,4,0)</f>
        <v>82.55</v>
      </c>
      <c r="AR62" t="str">
        <f>LOOKUP(D62,[2]contacts!$A$2:$A$400,[2]contacts!$G$2:$G$400)</f>
        <v>zlcgood@126.com</v>
      </c>
    </row>
    <row r="63" spans="1:44">
      <c r="A63" s="5" t="s">
        <v>38</v>
      </c>
      <c r="B63" s="6" t="s">
        <v>39</v>
      </c>
      <c r="C63" s="6" t="s">
        <v>40</v>
      </c>
      <c r="D63" s="17" t="s">
        <v>156</v>
      </c>
      <c r="E63" s="6" t="s">
        <v>157</v>
      </c>
      <c r="F63" s="7">
        <v>1180</v>
      </c>
      <c r="G63" s="7">
        <v>904</v>
      </c>
      <c r="H63" s="7">
        <v>2468</v>
      </c>
      <c r="I63" s="7">
        <v>56</v>
      </c>
      <c r="J63" s="7">
        <v>0</v>
      </c>
      <c r="K63" s="7">
        <v>0</v>
      </c>
      <c r="L63" s="7">
        <v>52.1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4660.1000000000004</v>
      </c>
      <c r="U63" s="7">
        <v>0</v>
      </c>
      <c r="V63" s="7">
        <v>0</v>
      </c>
      <c r="W63" s="7">
        <v>0</v>
      </c>
      <c r="X63" s="7">
        <v>20.84</v>
      </c>
      <c r="Y63" s="7">
        <v>4.2</v>
      </c>
      <c r="Z63" s="7">
        <v>5.9</v>
      </c>
      <c r="AA63" s="7">
        <v>0</v>
      </c>
      <c r="AB63" s="7">
        <v>0</v>
      </c>
      <c r="AC63" s="7">
        <v>0</v>
      </c>
      <c r="AD63" s="7">
        <v>0</v>
      </c>
      <c r="AE63" s="7">
        <v>947</v>
      </c>
      <c r="AF63" s="7">
        <v>0</v>
      </c>
      <c r="AG63" s="7">
        <v>0</v>
      </c>
      <c r="AH63" s="7">
        <v>977.94</v>
      </c>
      <c r="AI63" s="7">
        <v>3682.55</v>
      </c>
      <c r="AJ63" s="7">
        <v>0.39</v>
      </c>
      <c r="AK63" s="7">
        <v>0.55000000000000004</v>
      </c>
      <c r="AL63" s="8">
        <v>3682</v>
      </c>
      <c r="AM63" s="14">
        <f>VLOOKUP(D63,[1]财务部报表_有人事号!$A$2:$D$400,3,0)</f>
        <v>2300</v>
      </c>
      <c r="AN63" s="14">
        <f>VLOOKUP(D63,[1]财务部报表_有人事号!$A$2:$E$400,4,0)</f>
        <v>134.82000000000002</v>
      </c>
      <c r="AR63" t="str">
        <f>LOOKUP(D63,[2]contacts!$A$2:$A$400,[2]contacts!$G$2:$G$400)</f>
        <v>dxliu@whu.edu.cn</v>
      </c>
    </row>
    <row r="64" spans="1:44">
      <c r="A64" s="5" t="s">
        <v>38</v>
      </c>
      <c r="B64" s="6" t="s">
        <v>39</v>
      </c>
      <c r="C64" s="6" t="s">
        <v>40</v>
      </c>
      <c r="D64" s="17" t="s">
        <v>158</v>
      </c>
      <c r="E64" s="6" t="s">
        <v>159</v>
      </c>
      <c r="F64" s="7">
        <v>1420</v>
      </c>
      <c r="G64" s="7">
        <v>1154</v>
      </c>
      <c r="H64" s="7">
        <v>2779</v>
      </c>
      <c r="I64" s="7">
        <v>56</v>
      </c>
      <c r="J64" s="7">
        <v>0</v>
      </c>
      <c r="K64" s="7">
        <v>0</v>
      </c>
      <c r="L64" s="7">
        <v>64.349999999999994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5473.35</v>
      </c>
      <c r="U64" s="7">
        <v>0</v>
      </c>
      <c r="V64" s="7">
        <v>62.7</v>
      </c>
      <c r="W64" s="7">
        <v>0</v>
      </c>
      <c r="X64" s="7">
        <v>25.74</v>
      </c>
      <c r="Y64" s="7">
        <v>23.05</v>
      </c>
      <c r="Z64" s="7">
        <v>7.1</v>
      </c>
      <c r="AA64" s="7">
        <v>0</v>
      </c>
      <c r="AB64" s="7">
        <v>0</v>
      </c>
      <c r="AC64" s="7">
        <v>0</v>
      </c>
      <c r="AD64" s="7">
        <v>0</v>
      </c>
      <c r="AE64" s="7">
        <v>1115</v>
      </c>
      <c r="AF64" s="7">
        <v>0</v>
      </c>
      <c r="AG64" s="7">
        <v>0</v>
      </c>
      <c r="AH64" s="7">
        <v>1233.5899999999999</v>
      </c>
      <c r="AI64" s="7">
        <v>4240.7</v>
      </c>
      <c r="AJ64" s="7">
        <v>0.94</v>
      </c>
      <c r="AK64" s="7">
        <v>0.7</v>
      </c>
      <c r="AL64" s="8">
        <v>4240</v>
      </c>
      <c r="AM64" s="14">
        <f>VLOOKUP(D64,[1]财务部报表_有人事号!$A$2:$D$400,3,0)</f>
        <v>3350</v>
      </c>
      <c r="AN64" s="14">
        <f>VLOOKUP(D64,[1]财务部报表_有人事号!$A$2:$E$400,4,0)</f>
        <v>283.77999999999997</v>
      </c>
      <c r="AR64" t="str">
        <f>LOOKUP(D64,[2]contacts!$A$2:$A$400,[2]contacts!$G$2:$G$400)</f>
        <v>wmfeng@whu.edu.cn</v>
      </c>
    </row>
    <row r="65" spans="1:44">
      <c r="A65" s="5" t="s">
        <v>38</v>
      </c>
      <c r="B65" s="6" t="s">
        <v>39</v>
      </c>
      <c r="C65" s="6" t="s">
        <v>40</v>
      </c>
      <c r="D65" s="17" t="s">
        <v>160</v>
      </c>
      <c r="E65" s="6" t="s">
        <v>161</v>
      </c>
      <c r="F65" s="7">
        <v>730</v>
      </c>
      <c r="G65" s="7">
        <v>767</v>
      </c>
      <c r="H65" s="7">
        <v>2102</v>
      </c>
      <c r="I65" s="7">
        <v>56</v>
      </c>
      <c r="J65" s="7">
        <v>0</v>
      </c>
      <c r="K65" s="7">
        <v>0</v>
      </c>
      <c r="L65" s="7">
        <v>37.43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3692.43</v>
      </c>
      <c r="U65" s="7">
        <v>0</v>
      </c>
      <c r="V65" s="7">
        <v>446.5</v>
      </c>
      <c r="W65" s="7">
        <v>129.71</v>
      </c>
      <c r="X65" s="7">
        <v>14.97</v>
      </c>
      <c r="Y65" s="7">
        <v>0</v>
      </c>
      <c r="Z65" s="7">
        <v>3.65</v>
      </c>
      <c r="AA65" s="7">
        <v>0</v>
      </c>
      <c r="AB65" s="7">
        <v>0</v>
      </c>
      <c r="AC65" s="7">
        <v>0</v>
      </c>
      <c r="AD65" s="7">
        <v>0</v>
      </c>
      <c r="AE65" s="7">
        <v>739</v>
      </c>
      <c r="AF65" s="7">
        <v>0</v>
      </c>
      <c r="AG65" s="7">
        <v>0</v>
      </c>
      <c r="AH65" s="7">
        <v>1333.83</v>
      </c>
      <c r="AI65" s="7">
        <v>2358.87</v>
      </c>
      <c r="AJ65" s="7">
        <v>0.27</v>
      </c>
      <c r="AK65" s="7">
        <v>0.87</v>
      </c>
      <c r="AL65" s="8">
        <v>2358</v>
      </c>
      <c r="AM65" s="14">
        <f>VLOOKUP(D65,[1]财务部报表_有人事号!$A$2:$D$400,3,0)</f>
        <v>1430</v>
      </c>
      <c r="AN65" s="14">
        <f>VLOOKUP(D65,[1]财务部报表_有人事号!$A$2:$E$400,4,0)</f>
        <v>24.93</v>
      </c>
      <c r="AR65" t="str">
        <f>LOOKUP(D65,[2]contacts!$A$2:$A$400,[2]contacts!$G$2:$G$400)</f>
        <v>xiangyuanh@126.com</v>
      </c>
    </row>
    <row r="66" spans="1:44">
      <c r="A66" s="5" t="s">
        <v>38</v>
      </c>
      <c r="B66" s="6" t="s">
        <v>39</v>
      </c>
      <c r="C66" s="6" t="s">
        <v>40</v>
      </c>
      <c r="D66" s="17" t="s">
        <v>162</v>
      </c>
      <c r="E66" s="6" t="s">
        <v>163</v>
      </c>
      <c r="F66" s="7">
        <v>1900</v>
      </c>
      <c r="G66" s="7">
        <v>1334</v>
      </c>
      <c r="H66" s="7">
        <v>3108</v>
      </c>
      <c r="I66" s="7">
        <v>56</v>
      </c>
      <c r="J66" s="7">
        <v>0</v>
      </c>
      <c r="K66" s="7">
        <v>0</v>
      </c>
      <c r="L66" s="7">
        <v>80.849999999999994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6478.85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6478.85</v>
      </c>
      <c r="AD66" s="7">
        <v>0</v>
      </c>
      <c r="AE66" s="7">
        <v>0</v>
      </c>
      <c r="AF66" s="7">
        <v>0</v>
      </c>
      <c r="AG66" s="7">
        <v>0</v>
      </c>
      <c r="AH66" s="7">
        <v>6478.85</v>
      </c>
      <c r="AI66" s="7">
        <v>0.6</v>
      </c>
      <c r="AJ66" s="7">
        <v>0.6</v>
      </c>
      <c r="AK66" s="7">
        <v>0.6</v>
      </c>
      <c r="AL66" s="8">
        <v>0</v>
      </c>
      <c r="AM66" s="14">
        <f>VLOOKUP(D66,[1]财务部报表_有人事号!$A$2:$D$400,3,0)</f>
        <v>4950</v>
      </c>
      <c r="AN66" s="14">
        <f>VLOOKUP(D66,[1]财务部报表_有人事号!$A$2:$E$400,4,0)</f>
        <v>43.5</v>
      </c>
      <c r="AR66" t="str">
        <f>LOOKUP(D66,[2]contacts!$A$2:$A$400,[2]contacts!$G$2:$G$400)</f>
        <v>slguo@whu.edu.cn</v>
      </c>
    </row>
    <row r="67" spans="1:44">
      <c r="A67" s="5" t="s">
        <v>38</v>
      </c>
      <c r="B67" s="6" t="s">
        <v>39</v>
      </c>
      <c r="C67" s="6" t="s">
        <v>40</v>
      </c>
      <c r="D67" s="17" t="s">
        <v>164</v>
      </c>
      <c r="E67" s="6" t="s">
        <v>165</v>
      </c>
      <c r="F67" s="7">
        <v>1045</v>
      </c>
      <c r="G67" s="7">
        <v>984</v>
      </c>
      <c r="H67" s="7">
        <v>2779</v>
      </c>
      <c r="I67" s="7">
        <v>56</v>
      </c>
      <c r="J67" s="7">
        <v>0</v>
      </c>
      <c r="K67" s="7">
        <v>0</v>
      </c>
      <c r="L67" s="7">
        <v>60.9</v>
      </c>
      <c r="M67" s="7">
        <v>0</v>
      </c>
      <c r="N67" s="7">
        <v>200</v>
      </c>
      <c r="O67" s="7">
        <v>407</v>
      </c>
      <c r="P67" s="7">
        <v>0</v>
      </c>
      <c r="Q67" s="7">
        <v>0</v>
      </c>
      <c r="R67" s="7">
        <v>0</v>
      </c>
      <c r="S67" s="7">
        <v>0</v>
      </c>
      <c r="T67" s="7">
        <v>5531.9</v>
      </c>
      <c r="U67" s="7">
        <v>0</v>
      </c>
      <c r="V67" s="7">
        <v>100.7</v>
      </c>
      <c r="W67" s="7">
        <v>0</v>
      </c>
      <c r="X67" s="7">
        <v>20.29</v>
      </c>
      <c r="Y67" s="7">
        <v>26.09</v>
      </c>
      <c r="Z67" s="7">
        <v>5.23</v>
      </c>
      <c r="AA67" s="7">
        <v>0</v>
      </c>
      <c r="AB67" s="7">
        <v>0</v>
      </c>
      <c r="AC67" s="7">
        <v>0</v>
      </c>
      <c r="AD67" s="7">
        <v>0</v>
      </c>
      <c r="AE67" s="7">
        <v>1081</v>
      </c>
      <c r="AF67" s="7">
        <v>0</v>
      </c>
      <c r="AG67" s="7">
        <v>0</v>
      </c>
      <c r="AH67" s="7">
        <v>1233.31</v>
      </c>
      <c r="AI67" s="7">
        <v>4298.79</v>
      </c>
      <c r="AJ67" s="7">
        <v>0.2</v>
      </c>
      <c r="AK67" s="7">
        <v>0.79</v>
      </c>
      <c r="AL67" s="8">
        <v>4298</v>
      </c>
      <c r="AM67" s="14">
        <f>VLOOKUP(D67,[1]财务部报表_有人事号!$A$2:$D$400,3,0)</f>
        <v>4500</v>
      </c>
      <c r="AN67" s="14">
        <f>VLOOKUP(D67,[1]财务部报表_有人事号!$A$2:$E$400,4,0)</f>
        <v>492.85000000000008</v>
      </c>
      <c r="AR67" t="str">
        <f>LOOKUP(D67,[2]contacts!$A$2:$A$400,[2]contacts!$G$2:$G$400)</f>
        <v>zwyu7825@sohu.com</v>
      </c>
    </row>
    <row r="68" spans="1:44">
      <c r="A68" s="5" t="s">
        <v>38</v>
      </c>
      <c r="B68" s="6" t="s">
        <v>39</v>
      </c>
      <c r="C68" s="6" t="s">
        <v>40</v>
      </c>
      <c r="D68" s="17" t="s">
        <v>166</v>
      </c>
      <c r="E68" s="6" t="s">
        <v>167</v>
      </c>
      <c r="F68" s="7">
        <v>1900</v>
      </c>
      <c r="G68" s="7">
        <v>1199</v>
      </c>
      <c r="H68" s="7">
        <v>3108</v>
      </c>
      <c r="I68" s="7">
        <v>56</v>
      </c>
      <c r="J68" s="7">
        <v>0</v>
      </c>
      <c r="K68" s="7">
        <v>0</v>
      </c>
      <c r="L68" s="7">
        <v>77.48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6340.48</v>
      </c>
      <c r="U68" s="7">
        <v>0</v>
      </c>
      <c r="V68" s="7">
        <v>0</v>
      </c>
      <c r="W68" s="7">
        <v>0</v>
      </c>
      <c r="X68" s="7">
        <v>30.99</v>
      </c>
      <c r="Y68" s="7">
        <v>42.75</v>
      </c>
      <c r="Z68" s="7">
        <v>9.5</v>
      </c>
      <c r="AA68" s="7">
        <v>0</v>
      </c>
      <c r="AB68" s="7">
        <v>0</v>
      </c>
      <c r="AC68" s="7">
        <v>0</v>
      </c>
      <c r="AD68" s="7">
        <v>0</v>
      </c>
      <c r="AE68" s="7">
        <v>1307</v>
      </c>
      <c r="AF68" s="7">
        <v>0</v>
      </c>
      <c r="AG68" s="7">
        <v>0</v>
      </c>
      <c r="AH68" s="7">
        <v>1390.24</v>
      </c>
      <c r="AI68" s="7">
        <v>4951.0200000000004</v>
      </c>
      <c r="AJ68" s="7">
        <v>0.78</v>
      </c>
      <c r="AK68" s="7">
        <v>0.02</v>
      </c>
      <c r="AL68" s="8">
        <v>4951</v>
      </c>
      <c r="AM68" s="14">
        <f>VLOOKUP(D68,[1]财务部报表_有人事号!$A$2:$D$400,3,0)</f>
        <v>2000</v>
      </c>
      <c r="AN68" s="14">
        <f>VLOOKUP(D68,[1]财务部报表_有人事号!$A$2:$E$400,4,0)</f>
        <v>194.75</v>
      </c>
      <c r="AR68" t="str">
        <f>LOOKUP(D68,[2]contacts!$A$2:$A$400,[2]contacts!$G$2:$G$400)</f>
        <v>cbzhou@whu.edu.cn</v>
      </c>
    </row>
    <row r="69" spans="1:44">
      <c r="A69" s="5" t="s">
        <v>38</v>
      </c>
      <c r="B69" s="6" t="s">
        <v>39</v>
      </c>
      <c r="C69" s="6" t="s">
        <v>40</v>
      </c>
      <c r="D69" s="17" t="s">
        <v>168</v>
      </c>
      <c r="E69" s="6" t="s">
        <v>169</v>
      </c>
      <c r="F69" s="7">
        <v>730</v>
      </c>
      <c r="G69" s="7">
        <v>613</v>
      </c>
      <c r="H69" s="7">
        <v>2102</v>
      </c>
      <c r="I69" s="7">
        <v>56</v>
      </c>
      <c r="J69" s="7">
        <v>0</v>
      </c>
      <c r="K69" s="7">
        <v>0</v>
      </c>
      <c r="L69" s="7">
        <v>33.58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3534.58</v>
      </c>
      <c r="U69" s="7">
        <v>0</v>
      </c>
      <c r="V69" s="7">
        <v>0</v>
      </c>
      <c r="W69" s="7">
        <v>0</v>
      </c>
      <c r="X69" s="7">
        <v>13.43</v>
      </c>
      <c r="Y69" s="7">
        <v>0</v>
      </c>
      <c r="Z69" s="7">
        <v>3.65</v>
      </c>
      <c r="AA69" s="7">
        <v>0</v>
      </c>
      <c r="AB69" s="7">
        <v>0</v>
      </c>
      <c r="AC69" s="7">
        <v>0</v>
      </c>
      <c r="AD69" s="7">
        <v>0</v>
      </c>
      <c r="AE69" s="7">
        <v>701</v>
      </c>
      <c r="AF69" s="7">
        <v>0</v>
      </c>
      <c r="AG69" s="7">
        <v>0</v>
      </c>
      <c r="AH69" s="7">
        <v>718.08</v>
      </c>
      <c r="AI69" s="7">
        <v>2817.07</v>
      </c>
      <c r="AJ69" s="7">
        <v>0.56999999999999995</v>
      </c>
      <c r="AK69" s="7">
        <v>7.0000000000000007E-2</v>
      </c>
      <c r="AL69" s="8">
        <v>2817</v>
      </c>
      <c r="AM69" s="14">
        <f>VLOOKUP(D69,[1]财务部报表_有人事号!$A$2:$D$400,3,0)</f>
        <v>1430</v>
      </c>
      <c r="AN69" s="14">
        <f>VLOOKUP(D69,[1]财务部报表_有人事号!$A$2:$E$400,4,0)</f>
        <v>21.5</v>
      </c>
      <c r="AR69" t="str">
        <f>LOOKUP(D69,[2]contacts!$A$2:$A$400,[2]contacts!$G$2:$G$400)</f>
        <v>00011186@whu.edu.cn</v>
      </c>
    </row>
    <row r="70" spans="1:44">
      <c r="A70" s="5" t="s">
        <v>38</v>
      </c>
      <c r="B70" s="6" t="s">
        <v>39</v>
      </c>
      <c r="C70" s="6" t="s">
        <v>40</v>
      </c>
      <c r="D70" s="17" t="s">
        <v>170</v>
      </c>
      <c r="E70" s="6" t="s">
        <v>171</v>
      </c>
      <c r="F70" s="7">
        <v>730</v>
      </c>
      <c r="G70" s="7">
        <v>499</v>
      </c>
      <c r="H70" s="7">
        <v>2102</v>
      </c>
      <c r="I70" s="7">
        <v>56</v>
      </c>
      <c r="J70" s="7">
        <v>20</v>
      </c>
      <c r="K70" s="7">
        <v>0</v>
      </c>
      <c r="L70" s="7">
        <v>30.73</v>
      </c>
      <c r="M70" s="7">
        <v>0</v>
      </c>
      <c r="N70" s="7">
        <v>0</v>
      </c>
      <c r="O70" s="7">
        <v>0</v>
      </c>
      <c r="P70" s="7">
        <v>5</v>
      </c>
      <c r="Q70" s="7">
        <v>0</v>
      </c>
      <c r="R70" s="7">
        <v>0</v>
      </c>
      <c r="S70" s="7">
        <v>0</v>
      </c>
      <c r="T70" s="7">
        <v>3442.73</v>
      </c>
      <c r="U70" s="7">
        <v>0</v>
      </c>
      <c r="V70" s="7">
        <v>0</v>
      </c>
      <c r="W70" s="7">
        <v>0</v>
      </c>
      <c r="X70" s="7">
        <v>12.29</v>
      </c>
      <c r="Y70" s="7">
        <v>0</v>
      </c>
      <c r="Z70" s="7">
        <v>3.65</v>
      </c>
      <c r="AA70" s="7">
        <v>0</v>
      </c>
      <c r="AB70" s="7">
        <v>0</v>
      </c>
      <c r="AC70" s="7">
        <v>0</v>
      </c>
      <c r="AD70" s="7">
        <v>0</v>
      </c>
      <c r="AE70" s="7">
        <v>672</v>
      </c>
      <c r="AF70" s="7">
        <v>0</v>
      </c>
      <c r="AG70" s="7">
        <v>0</v>
      </c>
      <c r="AH70" s="7">
        <v>687.94</v>
      </c>
      <c r="AI70" s="7">
        <v>2754.85</v>
      </c>
      <c r="AJ70" s="7">
        <v>0.06</v>
      </c>
      <c r="AK70" s="7">
        <v>0.85</v>
      </c>
      <c r="AL70" s="8">
        <v>2754</v>
      </c>
      <c r="AM70" s="14">
        <f>VLOOKUP(D70,[1]财务部报表_有人事号!$A$2:$D$400,3,0)</f>
        <v>1430</v>
      </c>
      <c r="AN70" s="14">
        <f>VLOOKUP(D70,[1]财务部报表_有人事号!$A$2:$E$400,4,0)</f>
        <v>19.579999999999998</v>
      </c>
      <c r="AR70" t="str">
        <f>LOOKUP(D70,[2]contacts!$A$2:$A$400,[2]contacts!$G$2:$G$400)</f>
        <v>00011202@whu.edu.cn</v>
      </c>
    </row>
    <row r="71" spans="1:44">
      <c r="A71" s="5" t="s">
        <v>38</v>
      </c>
      <c r="B71" s="6" t="s">
        <v>39</v>
      </c>
      <c r="C71" s="6" t="s">
        <v>40</v>
      </c>
      <c r="D71" s="17" t="s">
        <v>172</v>
      </c>
      <c r="E71" s="6" t="s">
        <v>173</v>
      </c>
      <c r="F71" s="7">
        <v>1040</v>
      </c>
      <c r="G71" s="7">
        <v>673</v>
      </c>
      <c r="H71" s="7">
        <v>2413</v>
      </c>
      <c r="I71" s="7">
        <v>56</v>
      </c>
      <c r="J71" s="7">
        <v>0</v>
      </c>
      <c r="K71" s="7">
        <v>0</v>
      </c>
      <c r="L71" s="7">
        <v>42.83</v>
      </c>
      <c r="M71" s="7">
        <v>0</v>
      </c>
      <c r="N71" s="7">
        <v>0</v>
      </c>
      <c r="O71" s="7">
        <v>0</v>
      </c>
      <c r="P71" s="7">
        <v>5</v>
      </c>
      <c r="Q71" s="7">
        <v>0</v>
      </c>
      <c r="R71" s="7">
        <v>0</v>
      </c>
      <c r="S71" s="7">
        <v>0</v>
      </c>
      <c r="T71" s="7">
        <v>4229.83</v>
      </c>
      <c r="U71" s="7">
        <v>0</v>
      </c>
      <c r="V71" s="7">
        <v>74.099999999999994</v>
      </c>
      <c r="W71" s="7">
        <v>9.52</v>
      </c>
      <c r="X71" s="7">
        <v>17.13</v>
      </c>
      <c r="Y71" s="7">
        <v>0</v>
      </c>
      <c r="Z71" s="7">
        <v>5.2</v>
      </c>
      <c r="AA71" s="7">
        <v>0</v>
      </c>
      <c r="AB71" s="7">
        <v>0</v>
      </c>
      <c r="AC71" s="7">
        <v>0</v>
      </c>
      <c r="AD71" s="7">
        <v>0</v>
      </c>
      <c r="AE71" s="7">
        <v>845</v>
      </c>
      <c r="AF71" s="7">
        <v>0</v>
      </c>
      <c r="AG71" s="7">
        <v>0</v>
      </c>
      <c r="AH71" s="7">
        <v>950.95</v>
      </c>
      <c r="AI71" s="7">
        <v>3279.79</v>
      </c>
      <c r="AJ71" s="7">
        <v>0.91</v>
      </c>
      <c r="AK71" s="7">
        <v>0.79</v>
      </c>
      <c r="AL71" s="8">
        <v>3279</v>
      </c>
      <c r="AM71" s="14">
        <f>VLOOKUP(D71,[1]财务部报表_有人事号!$A$2:$D$400,3,0)</f>
        <v>2800</v>
      </c>
      <c r="AN71" s="14">
        <f>VLOOKUP(D71,[1]财务部报表_有人事号!$A$2:$E$400,4,0)</f>
        <v>156.99</v>
      </c>
      <c r="AR71" t="str">
        <f>LOOKUP(D71,[2]contacts!$A$2:$A$400,[2]contacts!$G$2:$G$400)</f>
        <v>hu.chengsheng@263.net</v>
      </c>
    </row>
    <row r="72" spans="1:44">
      <c r="A72" s="5" t="s">
        <v>38</v>
      </c>
      <c r="B72" s="6" t="s">
        <v>39</v>
      </c>
      <c r="C72" s="6" t="s">
        <v>40</v>
      </c>
      <c r="D72" s="17" t="s">
        <v>174</v>
      </c>
      <c r="E72" s="6" t="s">
        <v>175</v>
      </c>
      <c r="F72" s="7">
        <v>930</v>
      </c>
      <c r="G72" s="7">
        <v>583</v>
      </c>
      <c r="H72" s="7">
        <v>2376</v>
      </c>
      <c r="I72" s="7">
        <v>56</v>
      </c>
      <c r="J72" s="7">
        <v>0</v>
      </c>
      <c r="K72" s="7">
        <v>0</v>
      </c>
      <c r="L72" s="7">
        <v>37.83</v>
      </c>
      <c r="M72" s="7">
        <v>0</v>
      </c>
      <c r="N72" s="7">
        <v>0</v>
      </c>
      <c r="O72" s="7">
        <v>0</v>
      </c>
      <c r="P72" s="7">
        <v>5</v>
      </c>
      <c r="Q72" s="7">
        <v>0</v>
      </c>
      <c r="R72" s="7">
        <v>0</v>
      </c>
      <c r="S72" s="7">
        <v>0</v>
      </c>
      <c r="T72" s="7">
        <v>3987.83</v>
      </c>
      <c r="U72" s="7">
        <v>0</v>
      </c>
      <c r="V72" s="7">
        <v>0</v>
      </c>
      <c r="W72" s="7">
        <v>0</v>
      </c>
      <c r="X72" s="7">
        <v>15.13</v>
      </c>
      <c r="Y72" s="7">
        <v>0</v>
      </c>
      <c r="Z72" s="7">
        <v>4.6500000000000004</v>
      </c>
      <c r="AA72" s="7">
        <v>0</v>
      </c>
      <c r="AB72" s="7">
        <v>0</v>
      </c>
      <c r="AC72" s="7">
        <v>0</v>
      </c>
      <c r="AD72" s="7">
        <v>0</v>
      </c>
      <c r="AE72" s="7">
        <v>789</v>
      </c>
      <c r="AF72" s="7">
        <v>0</v>
      </c>
      <c r="AG72" s="7">
        <v>0</v>
      </c>
      <c r="AH72" s="7">
        <v>808.78</v>
      </c>
      <c r="AI72" s="7">
        <v>3179.39</v>
      </c>
      <c r="AJ72" s="7">
        <v>0.34</v>
      </c>
      <c r="AK72" s="7">
        <v>0.39</v>
      </c>
      <c r="AL72" s="8">
        <v>3179</v>
      </c>
      <c r="AM72" s="14">
        <f>VLOOKUP(D72,[1]财务部报表_有人事号!$A$2:$D$400,3,0)</f>
        <v>1950</v>
      </c>
      <c r="AN72" s="14">
        <f>VLOOKUP(D72,[1]财务部报表_有人事号!$A$2:$E$400,4,0)</f>
        <v>54.09</v>
      </c>
      <c r="AR72" t="str">
        <f>LOOKUP(D72,[2]contacts!$A$2:$A$400,[2]contacts!$G$2:$G$400)</f>
        <v>00011205@whu.edu.cn</v>
      </c>
    </row>
    <row r="73" spans="1:44">
      <c r="A73" s="5" t="s">
        <v>38</v>
      </c>
      <c r="B73" s="6" t="s">
        <v>39</v>
      </c>
      <c r="C73" s="6" t="s">
        <v>40</v>
      </c>
      <c r="D73" s="17" t="s">
        <v>176</v>
      </c>
      <c r="E73" s="6" t="s">
        <v>177</v>
      </c>
      <c r="F73" s="7">
        <v>1040</v>
      </c>
      <c r="G73" s="7">
        <v>799</v>
      </c>
      <c r="H73" s="7">
        <v>2413</v>
      </c>
      <c r="I73" s="7">
        <v>56</v>
      </c>
      <c r="J73" s="7">
        <v>0</v>
      </c>
      <c r="K73" s="7">
        <v>0</v>
      </c>
      <c r="L73" s="7">
        <v>45.98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4353.9799999999996</v>
      </c>
      <c r="U73" s="7">
        <v>0</v>
      </c>
      <c r="V73" s="7">
        <v>19</v>
      </c>
      <c r="W73" s="7">
        <v>0</v>
      </c>
      <c r="X73" s="7">
        <v>18.39</v>
      </c>
      <c r="Y73" s="7">
        <v>0</v>
      </c>
      <c r="Z73" s="7">
        <v>5.2</v>
      </c>
      <c r="AA73" s="7">
        <v>0</v>
      </c>
      <c r="AB73" s="7">
        <v>0</v>
      </c>
      <c r="AC73" s="7">
        <v>0</v>
      </c>
      <c r="AD73" s="7">
        <v>0</v>
      </c>
      <c r="AE73" s="7">
        <v>876</v>
      </c>
      <c r="AF73" s="7">
        <v>0</v>
      </c>
      <c r="AG73" s="7">
        <v>0</v>
      </c>
      <c r="AH73" s="7">
        <v>918.59</v>
      </c>
      <c r="AI73" s="7">
        <v>3435.76</v>
      </c>
      <c r="AJ73" s="7">
        <v>0.37</v>
      </c>
      <c r="AK73" s="7">
        <v>0.76</v>
      </c>
      <c r="AL73" s="8">
        <v>3435</v>
      </c>
      <c r="AM73" s="14">
        <f>VLOOKUP(D73,[1]财务部报表_有人事号!$A$2:$D$400,3,0)</f>
        <v>2100</v>
      </c>
      <c r="AN73" s="14">
        <f>VLOOKUP(D73,[1]财务部报表_有人事号!$A$2:$E$400,4,0)</f>
        <v>96.36</v>
      </c>
      <c r="AR73" t="str">
        <f>LOOKUP(D73,[2]contacts!$A$2:$A$400,[2]contacts!$G$2:$G$400)</f>
        <v>whbzjs@163.com</v>
      </c>
    </row>
    <row r="74" spans="1:44">
      <c r="A74" s="5" t="s">
        <v>38</v>
      </c>
      <c r="B74" s="6" t="s">
        <v>39</v>
      </c>
      <c r="C74" s="6" t="s">
        <v>40</v>
      </c>
      <c r="D74" s="17" t="s">
        <v>178</v>
      </c>
      <c r="E74" s="6" t="s">
        <v>179</v>
      </c>
      <c r="F74" s="7">
        <v>1040</v>
      </c>
      <c r="G74" s="7">
        <v>799</v>
      </c>
      <c r="H74" s="7">
        <v>2413</v>
      </c>
      <c r="I74" s="7">
        <v>56</v>
      </c>
      <c r="J74" s="7">
        <v>0</v>
      </c>
      <c r="K74" s="7">
        <v>0</v>
      </c>
      <c r="L74" s="7">
        <v>45.98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4353.9799999999996</v>
      </c>
      <c r="U74" s="7">
        <v>0</v>
      </c>
      <c r="V74" s="7">
        <v>0</v>
      </c>
      <c r="W74" s="7">
        <v>0</v>
      </c>
      <c r="X74" s="7">
        <v>18.39</v>
      </c>
      <c r="Y74" s="7">
        <v>0</v>
      </c>
      <c r="Z74" s="7">
        <v>5.2</v>
      </c>
      <c r="AA74" s="7">
        <v>0</v>
      </c>
      <c r="AB74" s="7">
        <v>0</v>
      </c>
      <c r="AC74" s="7">
        <v>0</v>
      </c>
      <c r="AD74" s="7">
        <v>0</v>
      </c>
      <c r="AE74" s="7">
        <v>876</v>
      </c>
      <c r="AF74" s="7">
        <v>0</v>
      </c>
      <c r="AG74" s="7">
        <v>0</v>
      </c>
      <c r="AH74" s="7">
        <v>899.59</v>
      </c>
      <c r="AI74" s="7">
        <v>3455.29</v>
      </c>
      <c r="AJ74" s="7">
        <v>0.9</v>
      </c>
      <c r="AK74" s="7">
        <v>0.28999999999999998</v>
      </c>
      <c r="AL74" s="8">
        <v>3455</v>
      </c>
      <c r="AM74" s="14">
        <f>VLOOKUP(D74,[1]财务部报表_有人事号!$A$2:$D$400,3,0)</f>
        <v>2100</v>
      </c>
      <c r="AN74" s="14">
        <f>VLOOKUP(D74,[1]财务部报表_有人事号!$A$2:$E$400,4,0)</f>
        <v>96.36</v>
      </c>
      <c r="AR74" t="str">
        <f>LOOKUP(D74,[2]contacts!$A$2:$A$400,[2]contacts!$G$2:$G$400)</f>
        <v>00011209@whu.edu.cn</v>
      </c>
    </row>
    <row r="75" spans="1:44">
      <c r="A75" s="5" t="s">
        <v>38</v>
      </c>
      <c r="B75" s="6" t="s">
        <v>39</v>
      </c>
      <c r="C75" s="6" t="s">
        <v>40</v>
      </c>
      <c r="D75" s="17" t="s">
        <v>180</v>
      </c>
      <c r="E75" s="6" t="s">
        <v>181</v>
      </c>
      <c r="F75" s="7">
        <v>1900</v>
      </c>
      <c r="G75" s="7">
        <v>1785</v>
      </c>
      <c r="H75" s="7">
        <v>3108</v>
      </c>
      <c r="I75" s="7">
        <v>56</v>
      </c>
      <c r="J75" s="7">
        <v>0</v>
      </c>
      <c r="K75" s="7">
        <v>0</v>
      </c>
      <c r="L75" s="7">
        <v>92.13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6941.13</v>
      </c>
      <c r="U75" s="7">
        <v>0</v>
      </c>
      <c r="V75" s="7">
        <v>279.3</v>
      </c>
      <c r="W75" s="7">
        <v>110.67</v>
      </c>
      <c r="X75" s="7">
        <v>36.85</v>
      </c>
      <c r="Y75" s="7">
        <v>0</v>
      </c>
      <c r="Z75" s="7">
        <v>9.5</v>
      </c>
      <c r="AA75" s="7">
        <v>0</v>
      </c>
      <c r="AB75" s="7">
        <v>0</v>
      </c>
      <c r="AC75" s="7">
        <v>0</v>
      </c>
      <c r="AD75" s="7">
        <v>0</v>
      </c>
      <c r="AE75" s="7">
        <v>1369</v>
      </c>
      <c r="AF75" s="7">
        <v>0</v>
      </c>
      <c r="AG75" s="7">
        <v>0</v>
      </c>
      <c r="AH75" s="7">
        <v>1805.32</v>
      </c>
      <c r="AI75" s="7">
        <v>5136.49</v>
      </c>
      <c r="AJ75" s="7">
        <v>0.68</v>
      </c>
      <c r="AK75" s="7">
        <v>0.49</v>
      </c>
      <c r="AL75" s="8">
        <v>5136</v>
      </c>
      <c r="AM75" s="14">
        <f>VLOOKUP(D75,[1]财务部报表_有人事号!$A$2:$D$400,3,0)</f>
        <v>4950</v>
      </c>
      <c r="AN75" s="14">
        <f>VLOOKUP(D75,[1]财务部报表_有人事号!$A$2:$E$400,4,0)</f>
        <v>0</v>
      </c>
      <c r="AR75" t="str">
        <f>LOOKUP(D75,[2]contacts!$A$2:$A$400,[2]contacts!$G$2:$G$400)</f>
        <v>cdwwh@tom.com</v>
      </c>
    </row>
    <row r="76" spans="1:44">
      <c r="A76" s="5" t="s">
        <v>38</v>
      </c>
      <c r="B76" s="6" t="s">
        <v>39</v>
      </c>
      <c r="C76" s="6" t="s">
        <v>40</v>
      </c>
      <c r="D76" s="17" t="s">
        <v>182</v>
      </c>
      <c r="E76" s="6" t="s">
        <v>183</v>
      </c>
      <c r="F76" s="7">
        <v>730</v>
      </c>
      <c r="G76" s="7">
        <v>869</v>
      </c>
      <c r="H76" s="7">
        <v>2102</v>
      </c>
      <c r="I76" s="7">
        <v>56</v>
      </c>
      <c r="J76" s="7">
        <v>0</v>
      </c>
      <c r="K76" s="7">
        <v>0</v>
      </c>
      <c r="L76" s="7">
        <v>39.979999999999997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3796.98</v>
      </c>
      <c r="U76" s="7">
        <v>0</v>
      </c>
      <c r="V76" s="7">
        <v>133</v>
      </c>
      <c r="W76" s="7">
        <v>38.67</v>
      </c>
      <c r="X76" s="7">
        <v>15.99</v>
      </c>
      <c r="Y76" s="7">
        <v>0</v>
      </c>
      <c r="Z76" s="7">
        <v>3.65</v>
      </c>
      <c r="AA76" s="7">
        <v>0</v>
      </c>
      <c r="AB76" s="7">
        <v>0</v>
      </c>
      <c r="AC76" s="7">
        <v>0</v>
      </c>
      <c r="AD76" s="7">
        <v>0</v>
      </c>
      <c r="AE76" s="7">
        <v>765</v>
      </c>
      <c r="AF76" s="7">
        <v>0</v>
      </c>
      <c r="AG76" s="7">
        <v>0</v>
      </c>
      <c r="AH76" s="7">
        <v>956.31</v>
      </c>
      <c r="AI76" s="7">
        <v>2841</v>
      </c>
      <c r="AJ76" s="7">
        <v>0.33</v>
      </c>
      <c r="AK76" s="7">
        <v>0</v>
      </c>
      <c r="AL76" s="8">
        <v>2841</v>
      </c>
      <c r="AM76" s="14">
        <f>VLOOKUP(D76,[1]财务部报表_有人事号!$A$2:$D$400,3,0)</f>
        <v>1430</v>
      </c>
      <c r="AN76" s="14">
        <f>VLOOKUP(D76,[1]财务部报表_有人事号!$A$2:$E$400,4,0)</f>
        <v>27.18</v>
      </c>
      <c r="AR76" t="str">
        <f>LOOKUP(D76,[2]contacts!$A$2:$A$400,[2]contacts!$G$2:$G$400)</f>
        <v>00011432@whu.edu.cn</v>
      </c>
    </row>
    <row r="77" spans="1:44">
      <c r="A77" s="5" t="s">
        <v>38</v>
      </c>
      <c r="B77" s="6" t="s">
        <v>39</v>
      </c>
      <c r="C77" s="6" t="s">
        <v>40</v>
      </c>
      <c r="D77" s="17" t="s">
        <v>184</v>
      </c>
      <c r="E77" s="6" t="s">
        <v>185</v>
      </c>
      <c r="F77" s="7">
        <v>1040</v>
      </c>
      <c r="G77" s="7">
        <v>834</v>
      </c>
      <c r="H77" s="7">
        <v>2413</v>
      </c>
      <c r="I77" s="7">
        <v>56</v>
      </c>
      <c r="J77" s="7">
        <v>20</v>
      </c>
      <c r="K77" s="7">
        <v>0</v>
      </c>
      <c r="L77" s="7">
        <v>46.85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4409.8500000000004</v>
      </c>
      <c r="U77" s="7">
        <v>0</v>
      </c>
      <c r="V77" s="7">
        <v>0</v>
      </c>
      <c r="W77" s="7">
        <v>0</v>
      </c>
      <c r="X77" s="7">
        <v>18.739999999999998</v>
      </c>
      <c r="Y77" s="7">
        <v>0</v>
      </c>
      <c r="Z77" s="7">
        <v>5.2</v>
      </c>
      <c r="AA77" s="7">
        <v>0</v>
      </c>
      <c r="AB77" s="7">
        <v>0</v>
      </c>
      <c r="AC77" s="7">
        <v>0</v>
      </c>
      <c r="AD77" s="7">
        <v>0</v>
      </c>
      <c r="AE77" s="7">
        <v>885</v>
      </c>
      <c r="AF77" s="7">
        <v>0</v>
      </c>
      <c r="AG77" s="7">
        <v>0</v>
      </c>
      <c r="AH77" s="7">
        <v>908.94</v>
      </c>
      <c r="AI77" s="7">
        <v>3501.19</v>
      </c>
      <c r="AJ77" s="7">
        <v>0.28000000000000003</v>
      </c>
      <c r="AK77" s="7">
        <v>0.19</v>
      </c>
      <c r="AL77" s="8">
        <v>3501</v>
      </c>
      <c r="AM77" s="14">
        <f>VLOOKUP(D77,[1]财务部报表_有人事号!$A$2:$D$400,3,0)</f>
        <v>2100</v>
      </c>
      <c r="AN77" s="14">
        <f>VLOOKUP(D77,[1]财务部报表_有人事号!$A$2:$E$400,4,0)</f>
        <v>100.93</v>
      </c>
      <c r="AR77" t="str">
        <f>LOOKUP(D77,[2]contacts!$A$2:$A$400,[2]contacts!$G$2:$G$400)</f>
        <v>wh-ly@sohu.com</v>
      </c>
    </row>
    <row r="78" spans="1:44">
      <c r="A78" s="5" t="s">
        <v>38</v>
      </c>
      <c r="B78" s="6" t="s">
        <v>39</v>
      </c>
      <c r="C78" s="6" t="s">
        <v>40</v>
      </c>
      <c r="D78" s="17" t="s">
        <v>186</v>
      </c>
      <c r="E78" s="6" t="s">
        <v>187</v>
      </c>
      <c r="F78" s="7">
        <v>1630</v>
      </c>
      <c r="G78" s="7">
        <v>1109</v>
      </c>
      <c r="H78" s="7">
        <v>2961</v>
      </c>
      <c r="I78" s="7">
        <v>56</v>
      </c>
      <c r="J78" s="7">
        <v>0</v>
      </c>
      <c r="K78" s="7">
        <v>0</v>
      </c>
      <c r="L78" s="7">
        <v>68.48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5824.48</v>
      </c>
      <c r="U78" s="7">
        <v>0</v>
      </c>
      <c r="V78" s="7">
        <v>62.7</v>
      </c>
      <c r="W78" s="7">
        <v>102.34</v>
      </c>
      <c r="X78" s="7">
        <v>27.39</v>
      </c>
      <c r="Y78" s="7">
        <v>31.07</v>
      </c>
      <c r="Z78" s="7">
        <v>8.15</v>
      </c>
      <c r="AA78" s="7">
        <v>0</v>
      </c>
      <c r="AB78" s="7">
        <v>0</v>
      </c>
      <c r="AC78" s="7">
        <v>0</v>
      </c>
      <c r="AD78" s="7">
        <v>0</v>
      </c>
      <c r="AE78" s="7">
        <v>1193</v>
      </c>
      <c r="AF78" s="7">
        <v>0</v>
      </c>
      <c r="AG78" s="7">
        <v>0</v>
      </c>
      <c r="AH78" s="7">
        <v>1424.65</v>
      </c>
      <c r="AI78" s="7">
        <v>4400.76</v>
      </c>
      <c r="AJ78" s="7">
        <v>0.93</v>
      </c>
      <c r="AK78" s="7">
        <v>0.76</v>
      </c>
      <c r="AL78" s="8">
        <v>4400</v>
      </c>
      <c r="AM78" s="14">
        <f>VLOOKUP(D78,[1]财务部报表_有人事号!$A$2:$D$400,3,0)</f>
        <v>4150</v>
      </c>
      <c r="AN78" s="14">
        <f>VLOOKUP(D78,[1]财务部报表_有人事号!$A$2:$E$400,4,0)</f>
        <v>451.05</v>
      </c>
      <c r="AR78" t="str">
        <f>LOOKUP(D78,[2]contacts!$A$2:$A$400,[2]contacts!$G$2:$G$400)</f>
        <v>wbf1988@vip.sina.com</v>
      </c>
    </row>
    <row r="79" spans="1:44">
      <c r="A79" s="5" t="s">
        <v>38</v>
      </c>
      <c r="B79" s="6" t="s">
        <v>39</v>
      </c>
      <c r="C79" s="6" t="s">
        <v>40</v>
      </c>
      <c r="D79" s="17" t="s">
        <v>188</v>
      </c>
      <c r="E79" s="6" t="s">
        <v>189</v>
      </c>
      <c r="F79" s="7">
        <v>1900</v>
      </c>
      <c r="G79" s="7">
        <v>1384</v>
      </c>
      <c r="H79" s="7">
        <v>3108</v>
      </c>
      <c r="I79" s="7">
        <v>56</v>
      </c>
      <c r="J79" s="7">
        <v>0</v>
      </c>
      <c r="K79" s="7">
        <v>0</v>
      </c>
      <c r="L79" s="7">
        <v>82.1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6530.1</v>
      </c>
      <c r="U79" s="7">
        <v>0</v>
      </c>
      <c r="V79" s="7">
        <v>0</v>
      </c>
      <c r="W79" s="7">
        <v>0</v>
      </c>
      <c r="X79" s="7">
        <v>32.840000000000003</v>
      </c>
      <c r="Y79" s="7">
        <v>51.12</v>
      </c>
      <c r="Z79" s="7">
        <v>9.5</v>
      </c>
      <c r="AA79" s="7">
        <v>0</v>
      </c>
      <c r="AB79" s="7">
        <v>0</v>
      </c>
      <c r="AC79" s="7">
        <v>0</v>
      </c>
      <c r="AD79" s="7">
        <v>0</v>
      </c>
      <c r="AE79" s="7">
        <v>1354</v>
      </c>
      <c r="AF79" s="7">
        <v>0</v>
      </c>
      <c r="AG79" s="7">
        <v>0</v>
      </c>
      <c r="AH79" s="7">
        <v>1447.46</v>
      </c>
      <c r="AI79" s="7">
        <v>5082.8599999999997</v>
      </c>
      <c r="AJ79" s="7">
        <v>0.22</v>
      </c>
      <c r="AK79" s="7">
        <v>0.86</v>
      </c>
      <c r="AL79" s="8">
        <v>5082</v>
      </c>
      <c r="AM79" s="14">
        <f>VLOOKUP(D79,[1]财务部报表_有人事号!$A$2:$D$400,3,0)</f>
        <v>4950</v>
      </c>
      <c r="AN79" s="14">
        <f>VLOOKUP(D79,[1]财务部报表_有人事号!$A$2:$E$400,4,0)</f>
        <v>696.11</v>
      </c>
      <c r="AR79" t="str">
        <f>LOOKUP(D79,[2]contacts!$A$2:$A$400,[2]contacts!$G$2:$G$400)</f>
        <v>jdyang@whu.edu.cn</v>
      </c>
    </row>
    <row r="80" spans="1:44">
      <c r="A80" s="5" t="s">
        <v>38</v>
      </c>
      <c r="B80" s="6" t="s">
        <v>39</v>
      </c>
      <c r="C80" s="6" t="s">
        <v>40</v>
      </c>
      <c r="D80" s="17" t="s">
        <v>190</v>
      </c>
      <c r="E80" s="6" t="s">
        <v>191</v>
      </c>
      <c r="F80" s="7">
        <v>1900</v>
      </c>
      <c r="G80" s="7">
        <v>1289</v>
      </c>
      <c r="H80" s="7">
        <v>3108</v>
      </c>
      <c r="I80" s="7">
        <v>56</v>
      </c>
      <c r="J80" s="7">
        <v>0</v>
      </c>
      <c r="K80" s="7">
        <v>0</v>
      </c>
      <c r="L80" s="7">
        <v>79.73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6432.73</v>
      </c>
      <c r="U80" s="7">
        <v>0</v>
      </c>
      <c r="V80" s="7">
        <v>0</v>
      </c>
      <c r="W80" s="7">
        <v>0</v>
      </c>
      <c r="X80" s="7">
        <v>31.89</v>
      </c>
      <c r="Y80" s="7">
        <v>44.73</v>
      </c>
      <c r="Z80" s="7">
        <v>9.5</v>
      </c>
      <c r="AA80" s="7">
        <v>0</v>
      </c>
      <c r="AB80" s="7">
        <v>0</v>
      </c>
      <c r="AC80" s="7">
        <v>0</v>
      </c>
      <c r="AD80" s="7">
        <v>0</v>
      </c>
      <c r="AE80" s="7">
        <v>1330</v>
      </c>
      <c r="AF80" s="7">
        <v>0</v>
      </c>
      <c r="AG80" s="7">
        <v>0</v>
      </c>
      <c r="AH80" s="7">
        <v>1416.12</v>
      </c>
      <c r="AI80" s="7">
        <v>5017.12</v>
      </c>
      <c r="AJ80" s="7">
        <v>0.51</v>
      </c>
      <c r="AK80" s="7">
        <v>0.12</v>
      </c>
      <c r="AL80" s="8">
        <v>5017</v>
      </c>
      <c r="AM80" s="14">
        <f>VLOOKUP(D80,[1]财务部报表_有人事号!$A$2:$D$400,3,0)</f>
        <v>4950</v>
      </c>
      <c r="AN80" s="14">
        <f>VLOOKUP(D80,[1]财务部报表_有人事号!$A$2:$E$400,4,0)</f>
        <v>688.49</v>
      </c>
      <c r="AR80" t="str">
        <f>LOOKUP(D80,[2]contacts!$A$2:$A$400,[2]contacts!$G$2:$G$400)</f>
        <v>mxiao@whu.edu.cn</v>
      </c>
    </row>
    <row r="81" spans="1:44">
      <c r="A81" s="5" t="s">
        <v>38</v>
      </c>
      <c r="B81" s="6" t="s">
        <v>39</v>
      </c>
      <c r="C81" s="6" t="s">
        <v>40</v>
      </c>
      <c r="D81" s="17" t="s">
        <v>192</v>
      </c>
      <c r="E81" s="6" t="s">
        <v>193</v>
      </c>
      <c r="F81" s="7">
        <v>1420</v>
      </c>
      <c r="G81" s="7">
        <v>944</v>
      </c>
      <c r="H81" s="7">
        <v>2779</v>
      </c>
      <c r="I81" s="7">
        <v>56</v>
      </c>
      <c r="J81" s="7">
        <v>0</v>
      </c>
      <c r="K81" s="7">
        <v>0</v>
      </c>
      <c r="L81" s="7">
        <v>59.1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5258.1</v>
      </c>
      <c r="U81" s="7">
        <v>0</v>
      </c>
      <c r="V81" s="7">
        <v>298.3</v>
      </c>
      <c r="W81" s="7">
        <v>95.8</v>
      </c>
      <c r="X81" s="7">
        <v>23.64</v>
      </c>
      <c r="Y81" s="7">
        <v>18.37</v>
      </c>
      <c r="Z81" s="7">
        <v>7.1</v>
      </c>
      <c r="AA81" s="7">
        <v>0</v>
      </c>
      <c r="AB81" s="7">
        <v>0</v>
      </c>
      <c r="AC81" s="7">
        <v>0</v>
      </c>
      <c r="AD81" s="7">
        <v>0</v>
      </c>
      <c r="AE81" s="7">
        <v>1063</v>
      </c>
      <c r="AF81" s="7">
        <v>0</v>
      </c>
      <c r="AG81" s="7">
        <v>0</v>
      </c>
      <c r="AH81" s="7">
        <v>1506.21</v>
      </c>
      <c r="AI81" s="7">
        <v>3751.97</v>
      </c>
      <c r="AJ81" s="7">
        <v>0.08</v>
      </c>
      <c r="AK81" s="7">
        <v>0.97</v>
      </c>
      <c r="AL81" s="8">
        <v>3751</v>
      </c>
      <c r="AM81" s="14">
        <f>VLOOKUP(D81,[1]财务部报表_有人事号!$A$2:$D$400,3,0)</f>
        <v>3350</v>
      </c>
      <c r="AN81" s="14">
        <f>VLOOKUP(D81,[1]财务部报表_有人事号!$A$2:$E$400,4,0)</f>
        <v>272.87</v>
      </c>
      <c r="AR81" t="str">
        <f>LOOKUP(D81,[2]contacts!$A$2:$A$400,[2]contacts!$G$2:$G$400)</f>
        <v>mlliaxu@public.wh.hb.cn</v>
      </c>
    </row>
    <row r="82" spans="1:44">
      <c r="A82" s="5" t="s">
        <v>38</v>
      </c>
      <c r="B82" s="6" t="s">
        <v>39</v>
      </c>
      <c r="C82" s="6" t="s">
        <v>40</v>
      </c>
      <c r="D82" s="17" t="s">
        <v>194</v>
      </c>
      <c r="E82" s="6" t="s">
        <v>195</v>
      </c>
      <c r="F82" s="7">
        <v>1420</v>
      </c>
      <c r="G82" s="7">
        <v>703</v>
      </c>
      <c r="H82" s="7">
        <v>2779</v>
      </c>
      <c r="I82" s="7">
        <v>56</v>
      </c>
      <c r="J82" s="7">
        <v>0</v>
      </c>
      <c r="K82" s="7">
        <v>0</v>
      </c>
      <c r="L82" s="7">
        <v>53.08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5011.08</v>
      </c>
      <c r="U82" s="7">
        <v>0</v>
      </c>
      <c r="V82" s="7">
        <v>58.9</v>
      </c>
      <c r="W82" s="7">
        <v>69.61</v>
      </c>
      <c r="X82" s="7">
        <v>21.23</v>
      </c>
      <c r="Y82" s="7">
        <v>13.04</v>
      </c>
      <c r="Z82" s="7">
        <v>7.1</v>
      </c>
      <c r="AA82" s="7">
        <v>0</v>
      </c>
      <c r="AB82" s="7">
        <v>0</v>
      </c>
      <c r="AC82" s="7">
        <v>0</v>
      </c>
      <c r="AD82" s="7">
        <v>0</v>
      </c>
      <c r="AE82" s="7">
        <v>1002</v>
      </c>
      <c r="AF82" s="7">
        <v>0</v>
      </c>
      <c r="AG82" s="7">
        <v>0</v>
      </c>
      <c r="AH82" s="7">
        <v>1171.8800000000001</v>
      </c>
      <c r="AI82" s="7">
        <v>3839.56</v>
      </c>
      <c r="AJ82" s="7">
        <v>0.36</v>
      </c>
      <c r="AK82" s="7">
        <v>0.56000000000000005</v>
      </c>
      <c r="AL82" s="8">
        <v>3839</v>
      </c>
      <c r="AM82" s="14">
        <f>VLOOKUP(D82,[1]财务部报表_有人事号!$A$2:$D$400,3,0)</f>
        <v>3350</v>
      </c>
      <c r="AN82" s="14">
        <f>VLOOKUP(D82,[1]财务部报表_有人事号!$A$2:$E$400,4,0)</f>
        <v>260.44</v>
      </c>
      <c r="AR82" t="str">
        <f>LOOKUP(D82,[2]contacts!$A$2:$A$400,[2]contacts!$G$2:$G$400)</f>
        <v>chengyg2000@yahoo.com.cn</v>
      </c>
    </row>
    <row r="83" spans="1:44">
      <c r="A83" s="5" t="s">
        <v>38</v>
      </c>
      <c r="B83" s="6" t="s">
        <v>39</v>
      </c>
      <c r="C83" s="6" t="s">
        <v>40</v>
      </c>
      <c r="D83" s="17" t="s">
        <v>196</v>
      </c>
      <c r="E83" s="6" t="s">
        <v>197</v>
      </c>
      <c r="F83" s="7">
        <v>930</v>
      </c>
      <c r="G83" s="7">
        <v>471</v>
      </c>
      <c r="H83" s="7">
        <v>2376</v>
      </c>
      <c r="I83" s="7">
        <v>56</v>
      </c>
      <c r="J83" s="7">
        <v>0</v>
      </c>
      <c r="K83" s="7">
        <v>0</v>
      </c>
      <c r="L83" s="7">
        <v>35.03</v>
      </c>
      <c r="M83" s="7">
        <v>0</v>
      </c>
      <c r="N83" s="7">
        <v>0</v>
      </c>
      <c r="O83" s="7">
        <v>0</v>
      </c>
      <c r="P83" s="7">
        <v>5</v>
      </c>
      <c r="Q83" s="7">
        <v>0</v>
      </c>
      <c r="R83" s="7">
        <v>0</v>
      </c>
      <c r="S83" s="7">
        <v>0</v>
      </c>
      <c r="T83" s="7">
        <v>3873.03</v>
      </c>
      <c r="U83" s="7">
        <v>0</v>
      </c>
      <c r="V83" s="7">
        <v>19</v>
      </c>
      <c r="W83" s="7">
        <v>40.46</v>
      </c>
      <c r="X83" s="7">
        <v>14.01</v>
      </c>
      <c r="Y83" s="7">
        <v>0</v>
      </c>
      <c r="Z83" s="7">
        <v>4.6500000000000004</v>
      </c>
      <c r="AA83" s="7">
        <v>0</v>
      </c>
      <c r="AB83" s="7">
        <v>0</v>
      </c>
      <c r="AC83" s="7">
        <v>0</v>
      </c>
      <c r="AD83" s="7">
        <v>0</v>
      </c>
      <c r="AE83" s="7">
        <v>761</v>
      </c>
      <c r="AF83" s="7">
        <v>0</v>
      </c>
      <c r="AG83" s="7">
        <v>0</v>
      </c>
      <c r="AH83" s="7">
        <v>839.12</v>
      </c>
      <c r="AI83" s="7">
        <v>3034.13</v>
      </c>
      <c r="AJ83" s="7">
        <v>0.22</v>
      </c>
      <c r="AK83" s="7">
        <v>0.13</v>
      </c>
      <c r="AL83" s="8">
        <v>3034</v>
      </c>
      <c r="AM83" s="14">
        <f>VLOOKUP(D83,[1]财务部报表_有人事号!$A$2:$D$400,3,0)</f>
        <v>1950</v>
      </c>
      <c r="AN83" s="14">
        <f>VLOOKUP(D83,[1]财务部报表_有人事号!$A$2:$E$400,4,0)</f>
        <v>45.8</v>
      </c>
      <c r="AR83" t="str">
        <f>LOOKUP(D83,[2]contacts!$A$2:$A$400,[2]contacts!$G$2:$G$400)</f>
        <v>lukeping@whu.edu.cn</v>
      </c>
    </row>
    <row r="84" spans="1:44">
      <c r="A84" s="5" t="s">
        <v>38</v>
      </c>
      <c r="B84" s="6" t="s">
        <v>39</v>
      </c>
      <c r="C84" s="6" t="s">
        <v>40</v>
      </c>
      <c r="D84" s="17" t="s">
        <v>198</v>
      </c>
      <c r="E84" s="6" t="s">
        <v>199</v>
      </c>
      <c r="F84" s="7">
        <v>615</v>
      </c>
      <c r="G84" s="7">
        <v>455</v>
      </c>
      <c r="H84" s="7">
        <v>1919</v>
      </c>
      <c r="I84" s="7">
        <v>56</v>
      </c>
      <c r="J84" s="7">
        <v>20</v>
      </c>
      <c r="K84" s="7">
        <v>0</v>
      </c>
      <c r="L84" s="7">
        <v>26.75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3091.75</v>
      </c>
      <c r="U84" s="7">
        <v>0</v>
      </c>
      <c r="V84" s="7">
        <v>0</v>
      </c>
      <c r="W84" s="7">
        <v>0</v>
      </c>
      <c r="X84" s="7">
        <v>10.7</v>
      </c>
      <c r="Y84" s="7">
        <v>0</v>
      </c>
      <c r="Z84" s="7">
        <v>3.08</v>
      </c>
      <c r="AA84" s="7">
        <v>0</v>
      </c>
      <c r="AB84" s="7">
        <v>0</v>
      </c>
      <c r="AC84" s="7">
        <v>0</v>
      </c>
      <c r="AD84" s="7">
        <v>0</v>
      </c>
      <c r="AE84" s="7">
        <v>599</v>
      </c>
      <c r="AF84" s="7">
        <v>0</v>
      </c>
      <c r="AG84" s="7">
        <v>0</v>
      </c>
      <c r="AH84" s="7">
        <v>612.78</v>
      </c>
      <c r="AI84" s="7">
        <v>2479.75</v>
      </c>
      <c r="AJ84" s="7">
        <v>0.78</v>
      </c>
      <c r="AK84" s="7">
        <v>0.75</v>
      </c>
      <c r="AL84" s="8">
        <v>2479</v>
      </c>
      <c r="AM84" s="14">
        <f>VLOOKUP(D84,[1]财务部报表_有人事号!$A$2:$D$400,3,0)</f>
        <v>1050</v>
      </c>
      <c r="AN84" s="14">
        <f>VLOOKUP(D84,[1]财务部报表_有人事号!$A$2:$E$400,4,0)</f>
        <v>0.16</v>
      </c>
      <c r="AR84" t="str">
        <f>LOOKUP(D84,[2]contacts!$A$2:$A$400,[2]contacts!$G$2:$G$400)</f>
        <v>yuanhanfang0405@sina.com</v>
      </c>
    </row>
    <row r="85" spans="1:44">
      <c r="A85" s="5" t="s">
        <v>38</v>
      </c>
      <c r="B85" s="6" t="s">
        <v>39</v>
      </c>
      <c r="C85" s="6" t="s">
        <v>40</v>
      </c>
      <c r="D85" s="17" t="s">
        <v>200</v>
      </c>
      <c r="E85" s="6" t="s">
        <v>201</v>
      </c>
      <c r="F85" s="7">
        <v>780</v>
      </c>
      <c r="G85" s="7">
        <v>904</v>
      </c>
      <c r="H85" s="7">
        <v>2139</v>
      </c>
      <c r="I85" s="7">
        <v>56</v>
      </c>
      <c r="J85" s="7">
        <v>0</v>
      </c>
      <c r="K85" s="7">
        <v>0</v>
      </c>
      <c r="L85" s="7">
        <v>42.1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3921.1</v>
      </c>
      <c r="U85" s="7">
        <v>0</v>
      </c>
      <c r="V85" s="7">
        <v>205.2</v>
      </c>
      <c r="W85" s="7">
        <v>179.69</v>
      </c>
      <c r="X85" s="7">
        <v>16.84</v>
      </c>
      <c r="Y85" s="7">
        <v>0</v>
      </c>
      <c r="Z85" s="7">
        <v>3.9</v>
      </c>
      <c r="AA85" s="7">
        <v>0</v>
      </c>
      <c r="AB85" s="7">
        <v>0</v>
      </c>
      <c r="AC85" s="7">
        <v>0</v>
      </c>
      <c r="AD85" s="7">
        <v>0</v>
      </c>
      <c r="AE85" s="7">
        <v>792</v>
      </c>
      <c r="AF85" s="7">
        <v>0</v>
      </c>
      <c r="AG85" s="7">
        <v>0</v>
      </c>
      <c r="AH85" s="7">
        <v>1197.6300000000001</v>
      </c>
      <c r="AI85" s="7">
        <v>2723.64</v>
      </c>
      <c r="AJ85" s="7">
        <v>0.17</v>
      </c>
      <c r="AK85" s="7">
        <v>0.64</v>
      </c>
      <c r="AL85" s="8">
        <v>2723</v>
      </c>
      <c r="AM85" s="14">
        <f>VLOOKUP(D85,[1]财务部报表_有人事号!$A$2:$D$400,3,0)</f>
        <v>1580</v>
      </c>
      <c r="AN85" s="14">
        <f>VLOOKUP(D85,[1]财务部报表_有人事号!$A$2:$E$400,4,0)</f>
        <v>34.5</v>
      </c>
      <c r="AR85" t="str">
        <f>LOOKUP(D85,[2]contacts!$A$2:$A$400,[2]contacts!$G$2:$G$400)</f>
        <v>zlg124@tom.com</v>
      </c>
    </row>
    <row r="86" spans="1:44">
      <c r="A86" s="5" t="s">
        <v>38</v>
      </c>
      <c r="B86" s="6" t="s">
        <v>39</v>
      </c>
      <c r="C86" s="6" t="s">
        <v>40</v>
      </c>
      <c r="D86" s="17" t="s">
        <v>202</v>
      </c>
      <c r="E86" s="6" t="s">
        <v>203</v>
      </c>
      <c r="F86" s="7">
        <v>720</v>
      </c>
      <c r="G86" s="7">
        <v>735</v>
      </c>
      <c r="H86" s="7">
        <v>2139</v>
      </c>
      <c r="I86" s="7">
        <v>56</v>
      </c>
      <c r="J86" s="7">
        <v>20</v>
      </c>
      <c r="K86" s="7">
        <v>0</v>
      </c>
      <c r="L86" s="7">
        <v>36.380000000000003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3706.38</v>
      </c>
      <c r="U86" s="7">
        <v>0</v>
      </c>
      <c r="V86" s="7">
        <v>239.4</v>
      </c>
      <c r="W86" s="7">
        <v>177.31</v>
      </c>
      <c r="X86" s="7">
        <v>14.55</v>
      </c>
      <c r="Y86" s="7">
        <v>0</v>
      </c>
      <c r="Z86" s="7">
        <v>3.6</v>
      </c>
      <c r="AA86" s="7">
        <v>0</v>
      </c>
      <c r="AB86" s="7">
        <v>0</v>
      </c>
      <c r="AC86" s="7">
        <v>0</v>
      </c>
      <c r="AD86" s="7">
        <v>0</v>
      </c>
      <c r="AE86" s="7">
        <v>735</v>
      </c>
      <c r="AF86" s="7">
        <v>0</v>
      </c>
      <c r="AG86" s="7">
        <v>0</v>
      </c>
      <c r="AH86" s="7">
        <v>1169.8599999999999</v>
      </c>
      <c r="AI86" s="7">
        <v>2536.83</v>
      </c>
      <c r="AJ86" s="7">
        <v>0.31</v>
      </c>
      <c r="AK86" s="7">
        <v>0.83</v>
      </c>
      <c r="AL86" s="8">
        <v>2536</v>
      </c>
      <c r="AM86" s="14">
        <f>VLOOKUP(D86,[1]财务部报表_有人事号!$A$2:$D$400,3,0)</f>
        <v>2030</v>
      </c>
      <c r="AN86" s="14">
        <f>VLOOKUP(D86,[1]财务部报表_有人事号!$A$2:$E$400,4,0)</f>
        <v>43.51</v>
      </c>
      <c r="AR86" t="str">
        <f>LOOKUP(D86,[2]contacts!$A$2:$A$400,[2]contacts!$G$2:$G$400)</f>
        <v>slyjs@whu.edu.cn</v>
      </c>
    </row>
    <row r="87" spans="1:44">
      <c r="A87" s="5" t="s">
        <v>38</v>
      </c>
      <c r="B87" s="6" t="s">
        <v>39</v>
      </c>
      <c r="C87" s="6" t="s">
        <v>40</v>
      </c>
      <c r="D87" s="17" t="s">
        <v>204</v>
      </c>
      <c r="E87" s="6" t="s">
        <v>205</v>
      </c>
      <c r="F87" s="7">
        <v>850</v>
      </c>
      <c r="G87" s="7">
        <v>799</v>
      </c>
      <c r="H87" s="7">
        <v>2413</v>
      </c>
      <c r="I87" s="7">
        <v>56</v>
      </c>
      <c r="J87" s="7">
        <v>0</v>
      </c>
      <c r="K87" s="7">
        <v>0</v>
      </c>
      <c r="L87" s="7">
        <v>41.98</v>
      </c>
      <c r="M87" s="7">
        <v>0</v>
      </c>
      <c r="N87" s="7">
        <v>0</v>
      </c>
      <c r="O87" s="7">
        <v>30</v>
      </c>
      <c r="P87" s="7">
        <v>0</v>
      </c>
      <c r="Q87" s="7">
        <v>0</v>
      </c>
      <c r="R87" s="7">
        <v>0</v>
      </c>
      <c r="S87" s="7">
        <v>0</v>
      </c>
      <c r="T87" s="7">
        <v>4189.9799999999996</v>
      </c>
      <c r="U87" s="7">
        <v>0</v>
      </c>
      <c r="V87" s="7">
        <v>0</v>
      </c>
      <c r="W87" s="7">
        <v>65.45</v>
      </c>
      <c r="X87" s="7">
        <v>16.489999999999998</v>
      </c>
      <c r="Y87" s="7">
        <v>0</v>
      </c>
      <c r="Z87" s="7">
        <v>4.25</v>
      </c>
      <c r="AA87" s="7">
        <v>0</v>
      </c>
      <c r="AB87" s="7">
        <v>0</v>
      </c>
      <c r="AC87" s="7">
        <v>0</v>
      </c>
      <c r="AD87" s="7">
        <v>0</v>
      </c>
      <c r="AE87" s="7">
        <v>836</v>
      </c>
      <c r="AF87" s="7">
        <v>0</v>
      </c>
      <c r="AG87" s="7">
        <v>0</v>
      </c>
      <c r="AH87" s="7">
        <v>922.19</v>
      </c>
      <c r="AI87" s="7">
        <v>3268.68</v>
      </c>
      <c r="AJ87" s="7">
        <v>0.89</v>
      </c>
      <c r="AK87" s="7">
        <v>0.68</v>
      </c>
      <c r="AL87" s="8">
        <v>3268</v>
      </c>
      <c r="AM87" s="14">
        <f>VLOOKUP(D87,[1]财务部报表_有人事号!$A$2:$D$400,3,0)</f>
        <v>3000</v>
      </c>
      <c r="AN87" s="14">
        <f>VLOOKUP(D87,[1]财务部报表_有人事号!$A$2:$E$400,4,0)</f>
        <v>174.55</v>
      </c>
      <c r="AR87" t="str">
        <f>LOOKUP(D87,[2]contacts!$A$2:$A$400,[2]contacts!$G$2:$G$400)</f>
        <v>liufeng62@yeah.net</v>
      </c>
    </row>
    <row r="88" spans="1:44">
      <c r="A88" s="5" t="s">
        <v>38</v>
      </c>
      <c r="B88" s="6" t="s">
        <v>39</v>
      </c>
      <c r="C88" s="6" t="s">
        <v>40</v>
      </c>
      <c r="D88" s="17" t="s">
        <v>206</v>
      </c>
      <c r="E88" s="6" t="s">
        <v>207</v>
      </c>
      <c r="F88" s="7">
        <v>930</v>
      </c>
      <c r="G88" s="7">
        <v>1109</v>
      </c>
      <c r="H88" s="7">
        <v>2413</v>
      </c>
      <c r="I88" s="7">
        <v>56</v>
      </c>
      <c r="J88" s="7">
        <v>0</v>
      </c>
      <c r="K88" s="7">
        <v>0</v>
      </c>
      <c r="L88" s="7">
        <v>50.98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4558.9799999999996</v>
      </c>
      <c r="U88" s="7">
        <v>0</v>
      </c>
      <c r="V88" s="7">
        <v>482.6</v>
      </c>
      <c r="W88" s="7">
        <v>44.63</v>
      </c>
      <c r="X88" s="7">
        <v>20.39</v>
      </c>
      <c r="Y88" s="7">
        <v>1.85</v>
      </c>
      <c r="Z88" s="7">
        <v>4.6500000000000004</v>
      </c>
      <c r="AA88" s="7">
        <v>0</v>
      </c>
      <c r="AB88" s="7">
        <v>0</v>
      </c>
      <c r="AC88" s="7">
        <v>0</v>
      </c>
      <c r="AD88" s="7">
        <v>0</v>
      </c>
      <c r="AE88" s="7">
        <v>926</v>
      </c>
      <c r="AF88" s="7">
        <v>0</v>
      </c>
      <c r="AG88" s="7">
        <v>0</v>
      </c>
      <c r="AH88" s="7">
        <v>1480.12</v>
      </c>
      <c r="AI88" s="7">
        <v>3079.27</v>
      </c>
      <c r="AJ88" s="7">
        <v>0.41</v>
      </c>
      <c r="AK88" s="7">
        <v>0.27</v>
      </c>
      <c r="AL88" s="8">
        <v>3079</v>
      </c>
      <c r="AM88" s="14">
        <f>VLOOKUP(D88,[1]财务部报表_有人事号!$A$2:$D$400,3,0)</f>
        <v>2650</v>
      </c>
      <c r="AN88" s="14">
        <f>VLOOKUP(D88,[1]财务部报表_有人事号!$A$2:$E$400,4,0)</f>
        <v>164.31</v>
      </c>
      <c r="AR88" t="str">
        <f>LOOKUP(D88,[2]contacts!$A$2:$A$400,[2]contacts!$G$2:$G$400)</f>
        <v>slkyl@whu.edu.cn</v>
      </c>
    </row>
    <row r="89" spans="1:44">
      <c r="A89" s="5" t="s">
        <v>38</v>
      </c>
      <c r="B89" s="6" t="s">
        <v>39</v>
      </c>
      <c r="C89" s="6" t="s">
        <v>40</v>
      </c>
      <c r="D89" s="17" t="s">
        <v>208</v>
      </c>
      <c r="E89" s="6" t="s">
        <v>209</v>
      </c>
      <c r="F89" s="7">
        <v>690</v>
      </c>
      <c r="G89" s="7">
        <v>707</v>
      </c>
      <c r="H89" s="7">
        <v>2083</v>
      </c>
      <c r="I89" s="7">
        <v>56</v>
      </c>
      <c r="J89" s="7">
        <v>0</v>
      </c>
      <c r="K89" s="7">
        <v>0</v>
      </c>
      <c r="L89" s="7">
        <v>34.93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3570.93</v>
      </c>
      <c r="U89" s="7">
        <v>0</v>
      </c>
      <c r="V89" s="7">
        <v>499.7</v>
      </c>
      <c r="W89" s="7">
        <v>88.06</v>
      </c>
      <c r="X89" s="7">
        <v>13.97</v>
      </c>
      <c r="Y89" s="7">
        <v>0</v>
      </c>
      <c r="Z89" s="7">
        <v>3.45</v>
      </c>
      <c r="AA89" s="7">
        <v>0</v>
      </c>
      <c r="AB89" s="7">
        <v>0</v>
      </c>
      <c r="AC89" s="7">
        <v>0</v>
      </c>
      <c r="AD89" s="7">
        <v>0</v>
      </c>
      <c r="AE89" s="7">
        <v>708</v>
      </c>
      <c r="AF89" s="7">
        <v>0</v>
      </c>
      <c r="AG89" s="7">
        <v>0</v>
      </c>
      <c r="AH89" s="7">
        <v>1313.18</v>
      </c>
      <c r="AI89" s="7">
        <v>2257.86</v>
      </c>
      <c r="AJ89" s="7">
        <v>0.11</v>
      </c>
      <c r="AK89" s="7">
        <v>0.86</v>
      </c>
      <c r="AL89" s="8">
        <v>2257</v>
      </c>
      <c r="AM89" s="14">
        <f>VLOOKUP(D89,[1]财务部报表_有人事号!$A$2:$D$400,3,0)</f>
        <v>1250</v>
      </c>
      <c r="AN89" s="14">
        <f>VLOOKUP(D89,[1]财务部报表_有人事号!$A$2:$E$400,4,0)</f>
        <v>16.920000000000002</v>
      </c>
      <c r="AR89" t="str">
        <f>LOOKUP(D89,[2]contacts!$A$2:$A$400,[2]contacts!$G$2:$G$400)</f>
        <v>1045035430@qq.com</v>
      </c>
    </row>
    <row r="90" spans="1:44">
      <c r="A90" s="5" t="s">
        <v>38</v>
      </c>
      <c r="B90" s="6" t="s">
        <v>39</v>
      </c>
      <c r="C90" s="6" t="s">
        <v>40</v>
      </c>
      <c r="D90" s="17" t="s">
        <v>210</v>
      </c>
      <c r="E90" s="6" t="s">
        <v>211</v>
      </c>
      <c r="F90" s="7">
        <v>780</v>
      </c>
      <c r="G90" s="7">
        <v>767</v>
      </c>
      <c r="H90" s="7">
        <v>2139</v>
      </c>
      <c r="I90" s="7">
        <v>56</v>
      </c>
      <c r="J90" s="7">
        <v>0</v>
      </c>
      <c r="K90" s="7">
        <v>0</v>
      </c>
      <c r="L90" s="7">
        <v>38.68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3780.68</v>
      </c>
      <c r="U90" s="7">
        <v>0</v>
      </c>
      <c r="V90" s="7">
        <v>317.3</v>
      </c>
      <c r="W90" s="7">
        <v>0</v>
      </c>
      <c r="X90" s="7">
        <v>15.47</v>
      </c>
      <c r="Y90" s="7">
        <v>0</v>
      </c>
      <c r="Z90" s="7">
        <v>3.9</v>
      </c>
      <c r="AA90" s="7">
        <v>0</v>
      </c>
      <c r="AB90" s="7">
        <v>0</v>
      </c>
      <c r="AC90" s="7">
        <v>0</v>
      </c>
      <c r="AD90" s="7">
        <v>0</v>
      </c>
      <c r="AE90" s="7">
        <v>758</v>
      </c>
      <c r="AF90" s="7">
        <v>0</v>
      </c>
      <c r="AG90" s="7">
        <v>0</v>
      </c>
      <c r="AH90" s="7">
        <v>1094.67</v>
      </c>
      <c r="AI90" s="7">
        <v>2686.88</v>
      </c>
      <c r="AJ90" s="7">
        <v>0.87</v>
      </c>
      <c r="AK90" s="7">
        <v>0.88</v>
      </c>
      <c r="AL90" s="8">
        <v>2686</v>
      </c>
      <c r="AM90" s="14">
        <f>VLOOKUP(D90,[1]财务部报表_有人事号!$A$2:$D$400,3,0)</f>
        <v>1580</v>
      </c>
      <c r="AN90" s="14">
        <f>VLOOKUP(D90,[1]财务部报表_有人事号!$A$2:$E$400,4,0)</f>
        <v>31.46</v>
      </c>
      <c r="AR90" t="str">
        <f>LOOKUP(D90,[2]contacts!$A$2:$A$400,[2]contacts!$G$2:$G$400)</f>
        <v>1556932025@qq.com</v>
      </c>
    </row>
    <row r="91" spans="1:44">
      <c r="A91" s="5" t="s">
        <v>38</v>
      </c>
      <c r="B91" s="6" t="s">
        <v>39</v>
      </c>
      <c r="C91" s="6" t="s">
        <v>40</v>
      </c>
      <c r="D91" s="17" t="s">
        <v>212</v>
      </c>
      <c r="E91" s="6" t="s">
        <v>213</v>
      </c>
      <c r="F91" s="7">
        <v>615</v>
      </c>
      <c r="G91" s="7">
        <v>739</v>
      </c>
      <c r="H91" s="7">
        <v>1919</v>
      </c>
      <c r="I91" s="7">
        <v>56</v>
      </c>
      <c r="J91" s="7">
        <v>0</v>
      </c>
      <c r="K91" s="7">
        <v>0</v>
      </c>
      <c r="L91" s="7">
        <v>33.85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3362.85</v>
      </c>
      <c r="U91" s="7">
        <v>0</v>
      </c>
      <c r="V91" s="7">
        <v>302.10000000000002</v>
      </c>
      <c r="W91" s="7">
        <v>0</v>
      </c>
      <c r="X91" s="7">
        <v>13.54</v>
      </c>
      <c r="Y91" s="7">
        <v>0</v>
      </c>
      <c r="Z91" s="7">
        <v>3.08</v>
      </c>
      <c r="AA91" s="7">
        <v>0</v>
      </c>
      <c r="AB91" s="7">
        <v>0</v>
      </c>
      <c r="AC91" s="7">
        <v>0</v>
      </c>
      <c r="AD91" s="7">
        <v>0</v>
      </c>
      <c r="AE91" s="7">
        <v>670</v>
      </c>
      <c r="AF91" s="7">
        <v>0</v>
      </c>
      <c r="AG91" s="7">
        <v>0</v>
      </c>
      <c r="AH91" s="7">
        <v>988.72</v>
      </c>
      <c r="AI91" s="7">
        <v>2374.42</v>
      </c>
      <c r="AJ91" s="7">
        <v>0.28999999999999998</v>
      </c>
      <c r="AK91" s="7">
        <v>0.42</v>
      </c>
      <c r="AL91" s="8">
        <v>2374</v>
      </c>
      <c r="AM91" s="14">
        <f>VLOOKUP(D91,[1]财务部报表_有人事号!$A$2:$D$400,3,0)</f>
        <v>1050</v>
      </c>
      <c r="AN91" s="14">
        <f>VLOOKUP(D91,[1]财务部报表_有人事号!$A$2:$E$400,4,0)</f>
        <v>5.86</v>
      </c>
      <c r="AR91" t="str">
        <f>LOOKUP(D91,[2]contacts!$A$2:$A$400,[2]contacts!$G$2:$G$400)</f>
        <v>346995068@qq.com</v>
      </c>
    </row>
    <row r="92" spans="1:44">
      <c r="A92" s="5" t="s">
        <v>38</v>
      </c>
      <c r="B92" s="6" t="s">
        <v>39</v>
      </c>
      <c r="C92" s="6" t="s">
        <v>40</v>
      </c>
      <c r="D92" s="17" t="s">
        <v>214</v>
      </c>
      <c r="E92" s="6" t="s">
        <v>215</v>
      </c>
      <c r="F92" s="7">
        <v>780</v>
      </c>
      <c r="G92" s="7">
        <v>944</v>
      </c>
      <c r="H92" s="7">
        <v>2139</v>
      </c>
      <c r="I92" s="7">
        <v>56</v>
      </c>
      <c r="J92" s="7">
        <v>0</v>
      </c>
      <c r="K92" s="7">
        <v>0</v>
      </c>
      <c r="L92" s="7">
        <v>43.1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3962.1</v>
      </c>
      <c r="U92" s="7">
        <v>0</v>
      </c>
      <c r="V92" s="7">
        <v>0</v>
      </c>
      <c r="W92" s="7">
        <v>0</v>
      </c>
      <c r="X92" s="7">
        <v>17.239999999999998</v>
      </c>
      <c r="Y92" s="7">
        <v>0</v>
      </c>
      <c r="Z92" s="7">
        <v>3.9</v>
      </c>
      <c r="AA92" s="7">
        <v>0</v>
      </c>
      <c r="AB92" s="7">
        <v>0</v>
      </c>
      <c r="AC92" s="7">
        <v>0</v>
      </c>
      <c r="AD92" s="7">
        <v>0</v>
      </c>
      <c r="AE92" s="7">
        <v>802</v>
      </c>
      <c r="AF92" s="7">
        <v>0</v>
      </c>
      <c r="AG92" s="7">
        <v>0</v>
      </c>
      <c r="AH92" s="7">
        <v>823.14</v>
      </c>
      <c r="AI92" s="7">
        <v>3139.3</v>
      </c>
      <c r="AJ92" s="7">
        <v>0.34</v>
      </c>
      <c r="AK92" s="7">
        <v>0.3</v>
      </c>
      <c r="AL92" s="8">
        <v>3139</v>
      </c>
      <c r="AM92" s="14">
        <f>VLOOKUP(D92,[1]财务部报表_有人事号!$A$2:$D$400,3,0)</f>
        <v>1580</v>
      </c>
      <c r="AN92" s="14">
        <f>VLOOKUP(D92,[1]财务部报表_有人事号!$A$2:$E$400,4,0)</f>
        <v>35.39</v>
      </c>
      <c r="AR92" t="str">
        <f>LOOKUP(D92,[2]contacts!$A$2:$A$400,[2]contacts!$G$2:$G$400)</f>
        <v>1940921184@qq.com</v>
      </c>
    </row>
    <row r="93" spans="1:44">
      <c r="A93" s="5" t="s">
        <v>38</v>
      </c>
      <c r="B93" s="6" t="s">
        <v>39</v>
      </c>
      <c r="C93" s="6" t="s">
        <v>40</v>
      </c>
      <c r="D93" s="17" t="s">
        <v>216</v>
      </c>
      <c r="E93" s="6" t="s">
        <v>217</v>
      </c>
      <c r="F93" s="7">
        <v>1900</v>
      </c>
      <c r="G93" s="7">
        <v>1334</v>
      </c>
      <c r="H93" s="7">
        <v>3108</v>
      </c>
      <c r="I93" s="7">
        <v>56</v>
      </c>
      <c r="J93" s="7">
        <v>0</v>
      </c>
      <c r="K93" s="7">
        <v>0</v>
      </c>
      <c r="L93" s="7">
        <v>80.849999999999994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6478.85</v>
      </c>
      <c r="U93" s="7">
        <v>0</v>
      </c>
      <c r="V93" s="7">
        <v>0</v>
      </c>
      <c r="W93" s="7">
        <v>91.03</v>
      </c>
      <c r="X93" s="7">
        <v>32.340000000000003</v>
      </c>
      <c r="Y93" s="7">
        <v>47.47</v>
      </c>
      <c r="Z93" s="7">
        <v>9.5</v>
      </c>
      <c r="AA93" s="7">
        <v>0</v>
      </c>
      <c r="AB93" s="7">
        <v>0</v>
      </c>
      <c r="AC93" s="7">
        <v>0</v>
      </c>
      <c r="AD93" s="7">
        <v>0</v>
      </c>
      <c r="AE93" s="7">
        <v>1341</v>
      </c>
      <c r="AF93" s="7">
        <v>0</v>
      </c>
      <c r="AG93" s="7">
        <v>0</v>
      </c>
      <c r="AH93" s="7">
        <v>1521.34</v>
      </c>
      <c r="AI93" s="7">
        <v>4957.57</v>
      </c>
      <c r="AJ93" s="7">
        <v>0.06</v>
      </c>
      <c r="AK93" s="7">
        <v>0.56999999999999995</v>
      </c>
      <c r="AL93" s="8">
        <v>4957</v>
      </c>
      <c r="AM93" s="14">
        <f>VLOOKUP(D93,[1]财务部报表_有人事号!$A$2:$D$400,3,0)</f>
        <v>4950</v>
      </c>
      <c r="AN93" s="14">
        <f>VLOOKUP(D93,[1]财务部报表_有人事号!$A$2:$E$400,4,0)</f>
        <v>692.45999999999992</v>
      </c>
      <c r="AR93" t="str">
        <f>LOOKUP(D93,[2]contacts!$A$2:$A$400,[2]contacts!$G$2:$G$400)</f>
        <v>shihe3086@163.com</v>
      </c>
    </row>
    <row r="94" spans="1:44">
      <c r="A94" s="5" t="s">
        <v>38</v>
      </c>
      <c r="B94" s="6" t="s">
        <v>39</v>
      </c>
      <c r="C94" s="6" t="s">
        <v>40</v>
      </c>
      <c r="D94" s="17" t="s">
        <v>218</v>
      </c>
      <c r="E94" s="6" t="s">
        <v>219</v>
      </c>
      <c r="F94" s="7">
        <v>1040</v>
      </c>
      <c r="G94" s="7">
        <v>583</v>
      </c>
      <c r="H94" s="7">
        <v>2413</v>
      </c>
      <c r="I94" s="7">
        <v>56</v>
      </c>
      <c r="J94" s="7">
        <v>20</v>
      </c>
      <c r="K94" s="7">
        <v>0</v>
      </c>
      <c r="L94" s="7">
        <v>40.58</v>
      </c>
      <c r="M94" s="7">
        <v>0</v>
      </c>
      <c r="N94" s="7">
        <v>0</v>
      </c>
      <c r="O94" s="7">
        <v>0</v>
      </c>
      <c r="P94" s="7">
        <v>5</v>
      </c>
      <c r="Q94" s="7">
        <v>0</v>
      </c>
      <c r="R94" s="7">
        <v>0</v>
      </c>
      <c r="S94" s="7">
        <v>0</v>
      </c>
      <c r="T94" s="7">
        <v>4157.58</v>
      </c>
      <c r="U94" s="7">
        <v>0</v>
      </c>
      <c r="V94" s="7">
        <v>0</v>
      </c>
      <c r="W94" s="7">
        <v>0</v>
      </c>
      <c r="X94" s="7">
        <v>16.23</v>
      </c>
      <c r="Y94" s="7">
        <v>0</v>
      </c>
      <c r="Z94" s="7">
        <v>5.2</v>
      </c>
      <c r="AA94" s="7">
        <v>0</v>
      </c>
      <c r="AB94" s="7">
        <v>0</v>
      </c>
      <c r="AC94" s="7">
        <v>0</v>
      </c>
      <c r="AD94" s="7">
        <v>0</v>
      </c>
      <c r="AE94" s="7">
        <v>822</v>
      </c>
      <c r="AF94" s="7">
        <v>0</v>
      </c>
      <c r="AG94" s="7">
        <v>0</v>
      </c>
      <c r="AH94" s="7">
        <v>843.43</v>
      </c>
      <c r="AI94" s="7">
        <v>3314.64</v>
      </c>
      <c r="AJ94" s="7">
        <v>0.49</v>
      </c>
      <c r="AK94" s="7">
        <v>0.64</v>
      </c>
      <c r="AL94" s="8">
        <v>3314</v>
      </c>
      <c r="AM94" s="14">
        <f>VLOOKUP(D94,[1]财务部报表_有人事号!$A$2:$D$400,3,0)</f>
        <v>2100</v>
      </c>
      <c r="AN94" s="14">
        <f>VLOOKUP(D94,[1]财务部报表_有人事号!$A$2:$E$400,4,0)</f>
        <v>82.38</v>
      </c>
      <c r="AR94" t="str">
        <f>LOOKUP(D94,[2]contacts!$A$2:$A$400,[2]contacts!$G$2:$G$400)</f>
        <v>lujing@whu.edu.cn</v>
      </c>
    </row>
    <row r="95" spans="1:44">
      <c r="A95" s="5" t="s">
        <v>38</v>
      </c>
      <c r="B95" s="6" t="s">
        <v>39</v>
      </c>
      <c r="C95" s="6" t="s">
        <v>40</v>
      </c>
      <c r="D95" s="17" t="s">
        <v>220</v>
      </c>
      <c r="E95" s="6" t="s">
        <v>221</v>
      </c>
      <c r="F95" s="7">
        <v>680</v>
      </c>
      <c r="G95" s="7">
        <v>735</v>
      </c>
      <c r="H95" s="7">
        <v>2065</v>
      </c>
      <c r="I95" s="7">
        <v>56</v>
      </c>
      <c r="J95" s="7">
        <v>20</v>
      </c>
      <c r="K95" s="7">
        <v>0</v>
      </c>
      <c r="L95" s="7">
        <v>35.380000000000003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3591.38</v>
      </c>
      <c r="U95" s="7">
        <v>35</v>
      </c>
      <c r="V95" s="7">
        <v>425.6</v>
      </c>
      <c r="W95" s="7">
        <v>37.479999999999997</v>
      </c>
      <c r="X95" s="7">
        <v>14.15</v>
      </c>
      <c r="Y95" s="7">
        <v>0</v>
      </c>
      <c r="Z95" s="7">
        <v>3.4</v>
      </c>
      <c r="AA95" s="7">
        <v>0</v>
      </c>
      <c r="AB95" s="7">
        <v>0</v>
      </c>
      <c r="AC95" s="7">
        <v>0</v>
      </c>
      <c r="AD95" s="7">
        <v>0</v>
      </c>
      <c r="AE95" s="7">
        <v>713</v>
      </c>
      <c r="AF95" s="7">
        <v>0</v>
      </c>
      <c r="AG95" s="7">
        <v>0</v>
      </c>
      <c r="AH95" s="7">
        <v>1228.6300000000001</v>
      </c>
      <c r="AI95" s="7">
        <v>2363.1999999999998</v>
      </c>
      <c r="AJ95" s="7">
        <v>0.45</v>
      </c>
      <c r="AK95" s="7">
        <v>0.2</v>
      </c>
      <c r="AL95" s="8">
        <v>2363</v>
      </c>
      <c r="AM95" s="14">
        <f>VLOOKUP(D95,[1]财务部报表_有人事号!$A$2:$D$400,3,0)</f>
        <v>1280</v>
      </c>
      <c r="AN95" s="14">
        <f>VLOOKUP(D95,[1]财务部报表_有人事号!$A$2:$E$400,4,0)</f>
        <v>18.27</v>
      </c>
      <c r="AR95" t="str">
        <f>LOOKUP(D95,[2]contacts!$A$2:$A$400,[2]contacts!$G$2:$G$400)</f>
        <v>00011469@whu.edu.cn</v>
      </c>
    </row>
    <row r="96" spans="1:44">
      <c r="A96" s="5" t="s">
        <v>38</v>
      </c>
      <c r="B96" s="6" t="s">
        <v>39</v>
      </c>
      <c r="C96" s="6" t="s">
        <v>40</v>
      </c>
      <c r="D96" s="17" t="s">
        <v>222</v>
      </c>
      <c r="E96" s="6" t="s">
        <v>223</v>
      </c>
      <c r="F96" s="7">
        <v>1180</v>
      </c>
      <c r="G96" s="7">
        <v>1064</v>
      </c>
      <c r="H96" s="7">
        <v>2468</v>
      </c>
      <c r="I96" s="7">
        <v>56</v>
      </c>
      <c r="J96" s="7">
        <v>0</v>
      </c>
      <c r="K96" s="7">
        <v>0</v>
      </c>
      <c r="L96" s="7">
        <v>56.1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4824.1000000000004</v>
      </c>
      <c r="U96" s="7">
        <v>0</v>
      </c>
      <c r="V96" s="7">
        <v>150.1</v>
      </c>
      <c r="W96" s="7">
        <v>0</v>
      </c>
      <c r="X96" s="7">
        <v>22.44</v>
      </c>
      <c r="Y96" s="7">
        <v>7.76</v>
      </c>
      <c r="Z96" s="7">
        <v>5.9</v>
      </c>
      <c r="AA96" s="7">
        <v>0</v>
      </c>
      <c r="AB96" s="7">
        <v>0</v>
      </c>
      <c r="AC96" s="7">
        <v>0</v>
      </c>
      <c r="AD96" s="7">
        <v>0</v>
      </c>
      <c r="AE96" s="7">
        <v>987</v>
      </c>
      <c r="AF96" s="7">
        <v>0</v>
      </c>
      <c r="AG96" s="7">
        <v>0</v>
      </c>
      <c r="AH96" s="7">
        <v>1173.2</v>
      </c>
      <c r="AI96" s="7">
        <v>3651.06</v>
      </c>
      <c r="AJ96" s="7">
        <v>0.16</v>
      </c>
      <c r="AK96" s="7">
        <v>0.06</v>
      </c>
      <c r="AL96" s="8">
        <v>3651</v>
      </c>
      <c r="AM96" s="14">
        <f>VLOOKUP(D96,[1]财务部报表_有人事号!$A$2:$D$400,3,0)</f>
        <v>2300</v>
      </c>
      <c r="AN96" s="14">
        <f>VLOOKUP(D96,[1]财务部报表_有人事号!$A$2:$E$400,4,0)</f>
        <v>143.10000000000002</v>
      </c>
      <c r="AR96" t="str">
        <f>LOOKUP(D96,[2]contacts!$A$2:$A$400,[2]contacts!$G$2:$G$400)</f>
        <v>1353235401@qq.com</v>
      </c>
    </row>
    <row r="97" spans="1:44">
      <c r="A97" s="5" t="s">
        <v>38</v>
      </c>
      <c r="B97" s="6" t="s">
        <v>39</v>
      </c>
      <c r="C97" s="6" t="s">
        <v>40</v>
      </c>
      <c r="D97" s="17" t="s">
        <v>224</v>
      </c>
      <c r="E97" s="6" t="s">
        <v>225</v>
      </c>
      <c r="F97" s="7">
        <v>780</v>
      </c>
      <c r="G97" s="7">
        <v>673</v>
      </c>
      <c r="H97" s="7">
        <v>2139</v>
      </c>
      <c r="I97" s="7">
        <v>56</v>
      </c>
      <c r="J97" s="7">
        <v>0</v>
      </c>
      <c r="K97" s="7">
        <v>0</v>
      </c>
      <c r="L97" s="7">
        <v>36.33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3684.33</v>
      </c>
      <c r="U97" s="7">
        <v>0</v>
      </c>
      <c r="V97" s="7">
        <v>0</v>
      </c>
      <c r="W97" s="7">
        <v>54.74</v>
      </c>
      <c r="X97" s="7">
        <v>14.53</v>
      </c>
      <c r="Y97" s="7">
        <v>0</v>
      </c>
      <c r="Z97" s="7">
        <v>3.9</v>
      </c>
      <c r="AA97" s="7">
        <v>0</v>
      </c>
      <c r="AB97" s="7">
        <v>0</v>
      </c>
      <c r="AC97" s="7">
        <v>0</v>
      </c>
      <c r="AD97" s="7">
        <v>0</v>
      </c>
      <c r="AE97" s="7">
        <v>734</v>
      </c>
      <c r="AF97" s="7">
        <v>0</v>
      </c>
      <c r="AG97" s="7">
        <v>0</v>
      </c>
      <c r="AH97" s="7">
        <v>807.17</v>
      </c>
      <c r="AI97" s="7">
        <v>2877.63</v>
      </c>
      <c r="AJ97" s="7">
        <v>0.47</v>
      </c>
      <c r="AK97" s="7">
        <v>0.63</v>
      </c>
      <c r="AL97" s="8">
        <v>2877</v>
      </c>
      <c r="AM97" s="14">
        <f>VLOOKUP(D97,[1]财务部报表_有人事号!$A$2:$D$400,3,0)</f>
        <v>1580</v>
      </c>
      <c r="AN97" s="14">
        <f>VLOOKUP(D97,[1]财务部报表_有人事号!$A$2:$E$400,4,0)</f>
        <v>29.38</v>
      </c>
      <c r="AR97" t="str">
        <f>LOOKUP(D97,[2]contacts!$A$2:$A$400,[2]contacts!$G$2:$G$400)</f>
        <v>yxliu@whu.edu.cn</v>
      </c>
    </row>
    <row r="98" spans="1:44">
      <c r="A98" s="5" t="s">
        <v>38</v>
      </c>
      <c r="B98" s="6" t="s">
        <v>39</v>
      </c>
      <c r="C98" s="6" t="s">
        <v>40</v>
      </c>
      <c r="D98" s="17" t="s">
        <v>226</v>
      </c>
      <c r="E98" s="6" t="s">
        <v>227</v>
      </c>
      <c r="F98" s="7">
        <v>1040</v>
      </c>
      <c r="G98" s="7">
        <v>703</v>
      </c>
      <c r="H98" s="7">
        <v>2413</v>
      </c>
      <c r="I98" s="7">
        <v>56</v>
      </c>
      <c r="J98" s="7">
        <v>0</v>
      </c>
      <c r="K98" s="7">
        <v>0</v>
      </c>
      <c r="L98" s="7">
        <v>43.58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4255.58</v>
      </c>
      <c r="U98" s="7">
        <v>0</v>
      </c>
      <c r="V98" s="7">
        <v>74.099999999999994</v>
      </c>
      <c r="W98" s="7">
        <v>8.92</v>
      </c>
      <c r="X98" s="7">
        <v>17.43</v>
      </c>
      <c r="Y98" s="7">
        <v>0</v>
      </c>
      <c r="Z98" s="7">
        <v>5.2</v>
      </c>
      <c r="AA98" s="7">
        <v>0</v>
      </c>
      <c r="AB98" s="7">
        <v>0</v>
      </c>
      <c r="AC98" s="7">
        <v>0</v>
      </c>
      <c r="AD98" s="7">
        <v>0</v>
      </c>
      <c r="AE98" s="7">
        <v>852</v>
      </c>
      <c r="AF98" s="7">
        <v>0</v>
      </c>
      <c r="AG98" s="7">
        <v>0</v>
      </c>
      <c r="AH98" s="7">
        <v>957.65</v>
      </c>
      <c r="AI98" s="7">
        <v>3298.08</v>
      </c>
      <c r="AJ98" s="7">
        <v>0.15</v>
      </c>
      <c r="AK98" s="7">
        <v>0.08</v>
      </c>
      <c r="AL98" s="8">
        <v>3298</v>
      </c>
      <c r="AM98" s="14">
        <f>VLOOKUP(D98,[1]财务部报表_有人事号!$A$2:$D$400,3,0)</f>
        <v>2100</v>
      </c>
      <c r="AN98" s="14">
        <f>VLOOKUP(D98,[1]财务部报表_有人事号!$A$2:$E$400,4,0)</f>
        <v>89.26</v>
      </c>
      <c r="AR98" t="str">
        <f>LOOKUP(D98,[2]contacts!$A$2:$A$400,[2]contacts!$G$2:$G$400)</f>
        <v>nwdeng@163.com</v>
      </c>
    </row>
    <row r="99" spans="1:44">
      <c r="A99" s="5" t="s">
        <v>38</v>
      </c>
      <c r="B99" s="6" t="s">
        <v>39</v>
      </c>
      <c r="C99" s="6" t="s">
        <v>40</v>
      </c>
      <c r="D99" s="17" t="s">
        <v>228</v>
      </c>
      <c r="E99" s="6" t="s">
        <v>229</v>
      </c>
      <c r="F99" s="7">
        <v>1180</v>
      </c>
      <c r="G99" s="7">
        <v>1064</v>
      </c>
      <c r="H99" s="7">
        <v>2468</v>
      </c>
      <c r="I99" s="7">
        <v>56</v>
      </c>
      <c r="J99" s="7">
        <v>0</v>
      </c>
      <c r="K99" s="7">
        <v>0</v>
      </c>
      <c r="L99" s="7">
        <v>56.1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4824.1000000000004</v>
      </c>
      <c r="U99" s="7">
        <v>0</v>
      </c>
      <c r="V99" s="7">
        <v>49.4</v>
      </c>
      <c r="W99" s="7">
        <v>0</v>
      </c>
      <c r="X99" s="7">
        <v>22.44</v>
      </c>
      <c r="Y99" s="7">
        <v>7.76</v>
      </c>
      <c r="Z99" s="7">
        <v>5.9</v>
      </c>
      <c r="AA99" s="7">
        <v>0</v>
      </c>
      <c r="AB99" s="7">
        <v>0</v>
      </c>
      <c r="AC99" s="7">
        <v>0</v>
      </c>
      <c r="AD99" s="7">
        <v>0</v>
      </c>
      <c r="AE99" s="7">
        <v>987</v>
      </c>
      <c r="AF99" s="7">
        <v>0</v>
      </c>
      <c r="AG99" s="7">
        <v>0</v>
      </c>
      <c r="AH99" s="7">
        <v>1072.5</v>
      </c>
      <c r="AI99" s="7">
        <v>3752.48</v>
      </c>
      <c r="AJ99" s="7">
        <v>0.88</v>
      </c>
      <c r="AK99" s="7">
        <v>0.48</v>
      </c>
      <c r="AL99" s="8">
        <v>3752</v>
      </c>
      <c r="AM99" s="14">
        <f>VLOOKUP(D99,[1]财务部报表_有人事号!$A$2:$D$400,3,0)</f>
        <v>2300</v>
      </c>
      <c r="AN99" s="14">
        <f>VLOOKUP(D99,[1]财务部报表_有人事号!$A$2:$E$400,4,0)</f>
        <v>143.10000000000002</v>
      </c>
      <c r="AR99" t="str">
        <f>LOOKUP(D99,[2]contacts!$A$2:$A$400,[2]contacts!$G$2:$G$400)</f>
        <v>jzheng003@163.com</v>
      </c>
    </row>
    <row r="100" spans="1:44">
      <c r="A100" s="5" t="s">
        <v>38</v>
      </c>
      <c r="B100" s="6" t="s">
        <v>39</v>
      </c>
      <c r="C100" s="6" t="s">
        <v>40</v>
      </c>
      <c r="D100" s="17" t="s">
        <v>230</v>
      </c>
      <c r="E100" s="6" t="s">
        <v>231</v>
      </c>
      <c r="F100" s="7">
        <v>730</v>
      </c>
      <c r="G100" s="7">
        <v>613</v>
      </c>
      <c r="H100" s="7">
        <v>2102</v>
      </c>
      <c r="I100" s="7">
        <v>56</v>
      </c>
      <c r="J100" s="7">
        <v>0</v>
      </c>
      <c r="K100" s="7">
        <v>0</v>
      </c>
      <c r="L100" s="7">
        <v>33.58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3534.58</v>
      </c>
      <c r="U100" s="7">
        <v>0</v>
      </c>
      <c r="V100" s="7">
        <v>0</v>
      </c>
      <c r="W100" s="7">
        <v>0</v>
      </c>
      <c r="X100" s="7">
        <v>13.43</v>
      </c>
      <c r="Y100" s="7">
        <v>0</v>
      </c>
      <c r="Z100" s="7">
        <v>3.65</v>
      </c>
      <c r="AA100" s="7">
        <v>0</v>
      </c>
      <c r="AB100" s="7">
        <v>0</v>
      </c>
      <c r="AC100" s="7">
        <v>0</v>
      </c>
      <c r="AD100" s="7">
        <v>0</v>
      </c>
      <c r="AE100" s="7">
        <v>701</v>
      </c>
      <c r="AF100" s="7">
        <v>0</v>
      </c>
      <c r="AG100" s="7">
        <v>0</v>
      </c>
      <c r="AH100" s="7">
        <v>718.08</v>
      </c>
      <c r="AI100" s="7">
        <v>2817.35</v>
      </c>
      <c r="AJ100" s="7">
        <v>0.85</v>
      </c>
      <c r="AK100" s="7">
        <v>0.35</v>
      </c>
      <c r="AL100" s="8">
        <v>2817</v>
      </c>
      <c r="AM100" s="14">
        <f>VLOOKUP(D100,[1]财务部报表_有人事号!$A$2:$D$400,3,0)</f>
        <v>1430</v>
      </c>
      <c r="AN100" s="14">
        <f>VLOOKUP(D100,[1]财务部报表_有人事号!$A$2:$E$400,4,0)</f>
        <v>21.5</v>
      </c>
      <c r="AR100" t="str">
        <f>LOOKUP(D100,[2]contacts!$A$2:$A$400,[2]contacts!$G$2:$G$400)</f>
        <v>lhm631106@sina.com</v>
      </c>
    </row>
    <row r="101" spans="1:44">
      <c r="A101" s="5" t="s">
        <v>38</v>
      </c>
      <c r="B101" s="6" t="s">
        <v>39</v>
      </c>
      <c r="C101" s="6" t="s">
        <v>40</v>
      </c>
      <c r="D101" s="17" t="s">
        <v>232</v>
      </c>
      <c r="E101" s="6" t="s">
        <v>233</v>
      </c>
      <c r="F101" s="7">
        <v>930</v>
      </c>
      <c r="G101" s="7">
        <v>555</v>
      </c>
      <c r="H101" s="7">
        <v>2376</v>
      </c>
      <c r="I101" s="7">
        <v>56</v>
      </c>
      <c r="J101" s="7">
        <v>0</v>
      </c>
      <c r="K101" s="7">
        <v>0</v>
      </c>
      <c r="L101" s="7">
        <v>37.130000000000003</v>
      </c>
      <c r="M101" s="7">
        <v>0</v>
      </c>
      <c r="N101" s="7">
        <v>0</v>
      </c>
      <c r="O101" s="7">
        <v>0</v>
      </c>
      <c r="P101" s="7">
        <v>5</v>
      </c>
      <c r="Q101" s="7">
        <v>0</v>
      </c>
      <c r="R101" s="7">
        <v>0</v>
      </c>
      <c r="S101" s="7">
        <v>0</v>
      </c>
      <c r="T101" s="7">
        <v>3959.13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3959.13</v>
      </c>
      <c r="AD101" s="7">
        <v>0</v>
      </c>
      <c r="AE101" s="7">
        <v>0</v>
      </c>
      <c r="AF101" s="7">
        <v>0</v>
      </c>
      <c r="AG101" s="7">
        <v>0</v>
      </c>
      <c r="AH101" s="7">
        <v>3959.13</v>
      </c>
      <c r="AI101" s="7">
        <v>0.83</v>
      </c>
      <c r="AJ101" s="7">
        <v>0.83</v>
      </c>
      <c r="AK101" s="7">
        <v>0.83</v>
      </c>
      <c r="AL101" s="8">
        <v>0</v>
      </c>
      <c r="AM101" s="14">
        <f>VLOOKUP(D101,[1]财务部报表_有人事号!$A$2:$D$400,3,0)</f>
        <v>1950</v>
      </c>
      <c r="AN101" s="14">
        <f>VLOOKUP(D101,[1]财务部报表_有人事号!$A$2:$E$400,4,0)</f>
        <v>0</v>
      </c>
      <c r="AR101" t="str">
        <f>LOOKUP(D101,[2]contacts!$A$2:$A$400,[2]contacts!$G$2:$G$400)</f>
        <v>rg_mail@yeah.net</v>
      </c>
    </row>
    <row r="102" spans="1:44">
      <c r="A102" s="5" t="s">
        <v>38</v>
      </c>
      <c r="B102" s="6" t="s">
        <v>39</v>
      </c>
      <c r="C102" s="6" t="s">
        <v>40</v>
      </c>
      <c r="D102" s="17" t="s">
        <v>234</v>
      </c>
      <c r="E102" s="6" t="s">
        <v>235</v>
      </c>
      <c r="F102" s="7">
        <v>930</v>
      </c>
      <c r="G102" s="7">
        <v>499</v>
      </c>
      <c r="H102" s="7">
        <v>2376</v>
      </c>
      <c r="I102" s="7">
        <v>56</v>
      </c>
      <c r="J102" s="7">
        <v>0</v>
      </c>
      <c r="K102" s="7">
        <v>0</v>
      </c>
      <c r="L102" s="7">
        <v>35.729999999999997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3896.73</v>
      </c>
      <c r="U102" s="7">
        <v>31</v>
      </c>
      <c r="V102" s="7">
        <v>0</v>
      </c>
      <c r="W102" s="7">
        <v>184.45</v>
      </c>
      <c r="X102" s="7">
        <v>14.29</v>
      </c>
      <c r="Y102" s="7">
        <v>0</v>
      </c>
      <c r="Z102" s="7">
        <v>4.6500000000000004</v>
      </c>
      <c r="AA102" s="7">
        <v>0</v>
      </c>
      <c r="AB102" s="7">
        <v>0</v>
      </c>
      <c r="AC102" s="7">
        <v>0</v>
      </c>
      <c r="AD102" s="7">
        <v>0</v>
      </c>
      <c r="AE102" s="7">
        <v>768</v>
      </c>
      <c r="AF102" s="7">
        <v>0</v>
      </c>
      <c r="AG102" s="7">
        <v>0</v>
      </c>
      <c r="AH102" s="7">
        <v>1002.39</v>
      </c>
      <c r="AI102" s="7">
        <v>2895.21</v>
      </c>
      <c r="AJ102" s="7">
        <v>0.87</v>
      </c>
      <c r="AK102" s="7">
        <v>0.21</v>
      </c>
      <c r="AL102" s="8">
        <v>2895</v>
      </c>
      <c r="AM102" s="14">
        <f>VLOOKUP(D102,[1]财务部报表_有人事号!$A$2:$D$400,3,0)</f>
        <v>1950</v>
      </c>
      <c r="AN102" s="14">
        <f>VLOOKUP(D102,[1]财务部报表_有人事号!$A$2:$E$400,4,0)</f>
        <v>47.87</v>
      </c>
      <c r="AR102" t="str">
        <f>LOOKUP(D102,[2]contacts!$A$2:$A$400,[2]contacts!$G$2:$G$400)</f>
        <v>htwang@whu.edu.cn</v>
      </c>
    </row>
    <row r="103" spans="1:44">
      <c r="A103" s="5" t="s">
        <v>38</v>
      </c>
      <c r="B103" s="6" t="s">
        <v>39</v>
      </c>
      <c r="C103" s="6" t="s">
        <v>40</v>
      </c>
      <c r="D103" s="17" t="s">
        <v>236</v>
      </c>
      <c r="E103" s="6" t="s">
        <v>237</v>
      </c>
      <c r="F103" s="7">
        <v>1180</v>
      </c>
      <c r="G103" s="7">
        <v>1064</v>
      </c>
      <c r="H103" s="7">
        <v>2468</v>
      </c>
      <c r="I103" s="7">
        <v>56</v>
      </c>
      <c r="J103" s="7">
        <v>0</v>
      </c>
      <c r="K103" s="7">
        <v>0</v>
      </c>
      <c r="L103" s="7">
        <v>56.1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4824.1000000000004</v>
      </c>
      <c r="U103" s="7">
        <v>0</v>
      </c>
      <c r="V103" s="7">
        <v>541.5</v>
      </c>
      <c r="W103" s="7">
        <v>65.45</v>
      </c>
      <c r="X103" s="7">
        <v>22.44</v>
      </c>
      <c r="Y103" s="7">
        <v>7.76</v>
      </c>
      <c r="Z103" s="7">
        <v>5.9</v>
      </c>
      <c r="AA103" s="7">
        <v>0</v>
      </c>
      <c r="AB103" s="7">
        <v>0</v>
      </c>
      <c r="AC103" s="7">
        <v>0</v>
      </c>
      <c r="AD103" s="7">
        <v>0</v>
      </c>
      <c r="AE103" s="7">
        <v>987</v>
      </c>
      <c r="AF103" s="7">
        <v>0</v>
      </c>
      <c r="AG103" s="7">
        <v>0</v>
      </c>
      <c r="AH103" s="7">
        <v>1630.05</v>
      </c>
      <c r="AI103" s="7">
        <v>3194.05</v>
      </c>
      <c r="AJ103" s="7">
        <v>0</v>
      </c>
      <c r="AK103" s="7">
        <v>0.05</v>
      </c>
      <c r="AL103" s="8">
        <v>3194</v>
      </c>
      <c r="AM103" s="14">
        <f>VLOOKUP(D103,[1]财务部报表_有人事号!$A$2:$D$400,3,0)</f>
        <v>2300</v>
      </c>
      <c r="AN103" s="14">
        <f>VLOOKUP(D103,[1]财务部报表_有人事号!$A$2:$E$400,4,0)</f>
        <v>143.10000000000002</v>
      </c>
      <c r="AR103" t="str">
        <f>LOOKUP(D103,[2]contacts!$A$2:$A$400,[2]contacts!$G$2:$G$400)</f>
        <v>1203762186@qq.com</v>
      </c>
    </row>
    <row r="104" spans="1:44">
      <c r="A104" s="5" t="s">
        <v>38</v>
      </c>
      <c r="B104" s="6" t="s">
        <v>39</v>
      </c>
      <c r="C104" s="6" t="s">
        <v>40</v>
      </c>
      <c r="D104" s="17" t="s">
        <v>238</v>
      </c>
      <c r="E104" s="6" t="s">
        <v>239</v>
      </c>
      <c r="F104" s="7">
        <v>1180</v>
      </c>
      <c r="G104" s="7">
        <v>869</v>
      </c>
      <c r="H104" s="7">
        <v>2468</v>
      </c>
      <c r="I104" s="7">
        <v>56</v>
      </c>
      <c r="J104" s="7">
        <v>0</v>
      </c>
      <c r="K104" s="7">
        <v>0</v>
      </c>
      <c r="L104" s="7">
        <v>51.23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4624.2299999999996</v>
      </c>
      <c r="U104" s="7">
        <v>0</v>
      </c>
      <c r="V104" s="7">
        <v>49.4</v>
      </c>
      <c r="W104" s="7">
        <v>76.75</v>
      </c>
      <c r="X104" s="7">
        <v>20.49</v>
      </c>
      <c r="Y104" s="7">
        <v>3.44</v>
      </c>
      <c r="Z104" s="7">
        <v>5.9</v>
      </c>
      <c r="AA104" s="7">
        <v>0</v>
      </c>
      <c r="AB104" s="7">
        <v>0</v>
      </c>
      <c r="AC104" s="7">
        <v>0</v>
      </c>
      <c r="AD104" s="7">
        <v>0</v>
      </c>
      <c r="AE104" s="7">
        <v>938</v>
      </c>
      <c r="AF104" s="7">
        <v>0</v>
      </c>
      <c r="AG104" s="7">
        <v>0</v>
      </c>
      <c r="AH104" s="7">
        <v>1093.98</v>
      </c>
      <c r="AI104" s="7">
        <v>3530.8</v>
      </c>
      <c r="AJ104" s="7">
        <v>0.55000000000000004</v>
      </c>
      <c r="AK104" s="7">
        <v>0.8</v>
      </c>
      <c r="AL104" s="8">
        <v>3530</v>
      </c>
      <c r="AM104" s="14">
        <f>VLOOKUP(D104,[1]财务部报表_有人事号!$A$2:$D$400,3,0)</f>
        <v>2300</v>
      </c>
      <c r="AN104" s="14">
        <f>VLOOKUP(D104,[1]财务部报表_有人事号!$A$2:$E$400,4,0)</f>
        <v>133.01</v>
      </c>
      <c r="AR104" t="str">
        <f>LOOKUP(D104,[2]contacts!$A$2:$A$400,[2]contacts!$G$2:$G$400)</f>
        <v>zenglwhu@163.com</v>
      </c>
    </row>
    <row r="105" spans="1:44">
      <c r="A105" s="5" t="s">
        <v>38</v>
      </c>
      <c r="B105" s="6" t="s">
        <v>39</v>
      </c>
      <c r="C105" s="6" t="s">
        <v>40</v>
      </c>
      <c r="D105" s="17" t="s">
        <v>240</v>
      </c>
      <c r="E105" s="6" t="s">
        <v>241</v>
      </c>
      <c r="F105" s="7">
        <v>1040</v>
      </c>
      <c r="G105" s="7">
        <v>799</v>
      </c>
      <c r="H105" s="7">
        <v>2413</v>
      </c>
      <c r="I105" s="7">
        <v>56</v>
      </c>
      <c r="J105" s="7">
        <v>20</v>
      </c>
      <c r="K105" s="7">
        <v>0</v>
      </c>
      <c r="L105" s="7">
        <v>45.98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4373.9799999999996</v>
      </c>
      <c r="U105" s="7">
        <v>0</v>
      </c>
      <c r="V105" s="7">
        <v>0</v>
      </c>
      <c r="W105" s="7">
        <v>0</v>
      </c>
      <c r="X105" s="7">
        <v>18.39</v>
      </c>
      <c r="Y105" s="7">
        <v>0</v>
      </c>
      <c r="Z105" s="7">
        <v>5.2</v>
      </c>
      <c r="AA105" s="7">
        <v>0</v>
      </c>
      <c r="AB105" s="7">
        <v>0</v>
      </c>
      <c r="AC105" s="7">
        <v>0</v>
      </c>
      <c r="AD105" s="7">
        <v>0</v>
      </c>
      <c r="AE105" s="7">
        <v>876</v>
      </c>
      <c r="AF105" s="7">
        <v>0</v>
      </c>
      <c r="AG105" s="7">
        <v>0</v>
      </c>
      <c r="AH105" s="7">
        <v>899.59</v>
      </c>
      <c r="AI105" s="7">
        <v>3474.99</v>
      </c>
      <c r="AJ105" s="7">
        <v>0.6</v>
      </c>
      <c r="AK105" s="7">
        <v>0.99</v>
      </c>
      <c r="AL105" s="8">
        <v>3474</v>
      </c>
      <c r="AM105" s="14">
        <f>VLOOKUP(D105,[1]财务部报表_有人事号!$A$2:$D$400,3,0)</f>
        <v>2100</v>
      </c>
      <c r="AN105" s="14">
        <f>VLOOKUP(D105,[1]财务部报表_有人事号!$A$2:$E$400,4,0)</f>
        <v>98.36</v>
      </c>
      <c r="AR105" t="str">
        <f>LOOKUP(D105,[2]contacts!$A$2:$A$400,[2]contacts!$G$2:$G$400)</f>
        <v>yhliu@whu.edu.cn</v>
      </c>
    </row>
    <row r="106" spans="1:44">
      <c r="A106" s="5" t="s">
        <v>38</v>
      </c>
      <c r="B106" s="6" t="s">
        <v>39</v>
      </c>
      <c r="C106" s="6" t="s">
        <v>40</v>
      </c>
      <c r="D106" s="17" t="s">
        <v>242</v>
      </c>
      <c r="E106" s="6" t="s">
        <v>243</v>
      </c>
      <c r="F106" s="7">
        <v>1420</v>
      </c>
      <c r="G106" s="7">
        <v>1024</v>
      </c>
      <c r="H106" s="7">
        <v>2779</v>
      </c>
      <c r="I106" s="7">
        <v>56</v>
      </c>
      <c r="J106" s="7">
        <v>20</v>
      </c>
      <c r="K106" s="7">
        <v>0</v>
      </c>
      <c r="L106" s="7">
        <v>61.1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5360.1</v>
      </c>
      <c r="U106" s="7">
        <v>0</v>
      </c>
      <c r="V106" s="7">
        <v>26.6</v>
      </c>
      <c r="W106" s="7">
        <v>59.5</v>
      </c>
      <c r="X106" s="7">
        <v>24.44</v>
      </c>
      <c r="Y106" s="7">
        <v>20.75</v>
      </c>
      <c r="Z106" s="7">
        <v>7.1</v>
      </c>
      <c r="AA106" s="7">
        <v>0</v>
      </c>
      <c r="AB106" s="7">
        <v>0</v>
      </c>
      <c r="AC106" s="7">
        <v>0</v>
      </c>
      <c r="AD106" s="7">
        <v>0</v>
      </c>
      <c r="AE106" s="7">
        <v>1083</v>
      </c>
      <c r="AF106" s="7">
        <v>0</v>
      </c>
      <c r="AG106" s="7">
        <v>0</v>
      </c>
      <c r="AH106" s="7">
        <v>1221.3900000000001</v>
      </c>
      <c r="AI106" s="7">
        <v>4139.49</v>
      </c>
      <c r="AJ106" s="7">
        <v>0.78</v>
      </c>
      <c r="AK106" s="7">
        <v>0.49</v>
      </c>
      <c r="AL106" s="8">
        <v>4139</v>
      </c>
      <c r="AM106" s="14">
        <f>VLOOKUP(D106,[1]财务部报表_有人事号!$A$2:$D$400,3,0)</f>
        <v>3350</v>
      </c>
      <c r="AN106" s="14">
        <f>VLOOKUP(D106,[1]财务部报表_有人事号!$A$2:$E$400,4,0)</f>
        <v>278.41000000000003</v>
      </c>
      <c r="AR106" t="str">
        <f>LOOKUP(D106,[2]contacts!$A$2:$A$400,[2]contacts!$G$2:$G$400)</f>
        <v>evahezhen@126.com</v>
      </c>
    </row>
    <row r="107" spans="1:44">
      <c r="A107" s="5" t="s">
        <v>38</v>
      </c>
      <c r="B107" s="6" t="s">
        <v>39</v>
      </c>
      <c r="C107" s="6" t="s">
        <v>40</v>
      </c>
      <c r="D107" s="17" t="s">
        <v>244</v>
      </c>
      <c r="E107" s="6" t="s">
        <v>245</v>
      </c>
      <c r="F107" s="7">
        <v>780</v>
      </c>
      <c r="G107" s="7">
        <v>613</v>
      </c>
      <c r="H107" s="7">
        <v>2139</v>
      </c>
      <c r="I107" s="7">
        <v>56</v>
      </c>
      <c r="J107" s="7">
        <v>0</v>
      </c>
      <c r="K107" s="7">
        <v>0</v>
      </c>
      <c r="L107" s="7">
        <v>34.83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3622.83</v>
      </c>
      <c r="U107" s="7">
        <v>0</v>
      </c>
      <c r="V107" s="7">
        <v>0</v>
      </c>
      <c r="W107" s="7">
        <v>13.09</v>
      </c>
      <c r="X107" s="7">
        <v>13.93</v>
      </c>
      <c r="Y107" s="7">
        <v>0</v>
      </c>
      <c r="Z107" s="7">
        <v>3.9</v>
      </c>
      <c r="AA107" s="7">
        <v>0</v>
      </c>
      <c r="AB107" s="7">
        <v>0</v>
      </c>
      <c r="AC107" s="7">
        <v>0</v>
      </c>
      <c r="AD107" s="7">
        <v>0</v>
      </c>
      <c r="AE107" s="7">
        <v>719</v>
      </c>
      <c r="AF107" s="7">
        <v>0</v>
      </c>
      <c r="AG107" s="7">
        <v>0</v>
      </c>
      <c r="AH107" s="7">
        <v>749.92</v>
      </c>
      <c r="AI107" s="7">
        <v>2873.7</v>
      </c>
      <c r="AJ107" s="7">
        <v>0.79</v>
      </c>
      <c r="AK107" s="7">
        <v>0.7</v>
      </c>
      <c r="AL107" s="8">
        <v>2873</v>
      </c>
      <c r="AM107" s="14">
        <f>VLOOKUP(D107,[1]财务部报表_有人事号!$A$2:$D$400,3,0)</f>
        <v>1580</v>
      </c>
      <c r="AN107" s="14">
        <f>VLOOKUP(D107,[1]财务部报表_有人事号!$A$2:$E$400,4,0)</f>
        <v>28.05</v>
      </c>
      <c r="AR107" t="str">
        <f>LOOKUP(D107,[2]contacts!$A$2:$A$400,[2]contacts!$G$2:$G$400)</f>
        <v>hezhengyong.1@163.com</v>
      </c>
    </row>
    <row r="108" spans="1:44">
      <c r="A108" s="5" t="s">
        <v>38</v>
      </c>
      <c r="B108" s="6" t="s">
        <v>39</v>
      </c>
      <c r="C108" s="6" t="s">
        <v>40</v>
      </c>
      <c r="D108" s="17" t="s">
        <v>246</v>
      </c>
      <c r="E108" s="6" t="s">
        <v>247</v>
      </c>
      <c r="F108" s="7">
        <v>1040</v>
      </c>
      <c r="G108" s="7">
        <v>643</v>
      </c>
      <c r="H108" s="7">
        <v>2413</v>
      </c>
      <c r="I108" s="7">
        <v>56</v>
      </c>
      <c r="J108" s="7">
        <v>20</v>
      </c>
      <c r="K108" s="7">
        <v>0</v>
      </c>
      <c r="L108" s="7">
        <v>42.08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4214.08</v>
      </c>
      <c r="U108" s="7">
        <v>0</v>
      </c>
      <c r="V108" s="7">
        <v>0</v>
      </c>
      <c r="W108" s="7">
        <v>0</v>
      </c>
      <c r="X108" s="7">
        <v>16.829999999999998</v>
      </c>
      <c r="Y108" s="7">
        <v>0</v>
      </c>
      <c r="Z108" s="7">
        <v>5.2</v>
      </c>
      <c r="AA108" s="7">
        <v>0</v>
      </c>
      <c r="AB108" s="7">
        <v>0</v>
      </c>
      <c r="AC108" s="7">
        <v>0</v>
      </c>
      <c r="AD108" s="7">
        <v>0</v>
      </c>
      <c r="AE108" s="7">
        <v>837</v>
      </c>
      <c r="AF108" s="7">
        <v>0</v>
      </c>
      <c r="AG108" s="7">
        <v>0</v>
      </c>
      <c r="AH108" s="7">
        <v>859.03</v>
      </c>
      <c r="AI108" s="7">
        <v>3355.23</v>
      </c>
      <c r="AJ108" s="7">
        <v>0.18</v>
      </c>
      <c r="AK108" s="7">
        <v>0.23</v>
      </c>
      <c r="AL108" s="8">
        <v>3355</v>
      </c>
      <c r="AM108" s="14">
        <f>VLOOKUP(D108,[1]财务部报表_有人事号!$A$2:$D$400,3,0)</f>
        <v>2100</v>
      </c>
      <c r="AN108" s="14">
        <f>VLOOKUP(D108,[1]财务部报表_有人事号!$A$2:$E$400,4,0)</f>
        <v>86.82</v>
      </c>
      <c r="AR108" t="str">
        <f>LOOKUP(D108,[2]contacts!$A$2:$A$400,[2]contacts!$G$2:$G$400)</f>
        <v>yruan@whu.edu.cn</v>
      </c>
    </row>
    <row r="109" spans="1:44">
      <c r="A109" s="5" t="s">
        <v>38</v>
      </c>
      <c r="B109" s="6" t="s">
        <v>39</v>
      </c>
      <c r="C109" s="6" t="s">
        <v>40</v>
      </c>
      <c r="D109" s="17" t="s">
        <v>248</v>
      </c>
      <c r="E109" s="6" t="s">
        <v>249</v>
      </c>
      <c r="F109" s="7">
        <v>1180</v>
      </c>
      <c r="G109" s="7">
        <v>1064</v>
      </c>
      <c r="H109" s="7">
        <v>2468</v>
      </c>
      <c r="I109" s="7">
        <v>56</v>
      </c>
      <c r="J109" s="7">
        <v>0</v>
      </c>
      <c r="K109" s="7">
        <v>0</v>
      </c>
      <c r="L109" s="7">
        <v>56.1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4824.1000000000004</v>
      </c>
      <c r="U109" s="7">
        <v>0</v>
      </c>
      <c r="V109" s="7">
        <v>476.9</v>
      </c>
      <c r="W109" s="7">
        <v>62.47</v>
      </c>
      <c r="X109" s="7">
        <v>22.44</v>
      </c>
      <c r="Y109" s="7">
        <v>7.76</v>
      </c>
      <c r="Z109" s="7">
        <v>5.9</v>
      </c>
      <c r="AA109" s="7">
        <v>0</v>
      </c>
      <c r="AB109" s="7">
        <v>0</v>
      </c>
      <c r="AC109" s="7">
        <v>0</v>
      </c>
      <c r="AD109" s="7">
        <v>0</v>
      </c>
      <c r="AE109" s="7">
        <v>987</v>
      </c>
      <c r="AF109" s="7">
        <v>0</v>
      </c>
      <c r="AG109" s="7">
        <v>0</v>
      </c>
      <c r="AH109" s="7">
        <v>1562.47</v>
      </c>
      <c r="AI109" s="7">
        <v>3261.82</v>
      </c>
      <c r="AJ109" s="7">
        <v>0.19</v>
      </c>
      <c r="AK109" s="7">
        <v>0.82</v>
      </c>
      <c r="AL109" s="8">
        <v>3261</v>
      </c>
      <c r="AM109" s="14">
        <f>VLOOKUP(D109,[1]财务部报表_有人事号!$A$2:$D$400,3,0)</f>
        <v>2300</v>
      </c>
      <c r="AN109" s="14">
        <f>VLOOKUP(D109,[1]财务部报表_有人事号!$A$2:$E$400,4,0)</f>
        <v>143.10000000000002</v>
      </c>
      <c r="AR109" t="str">
        <f>LOOKUP(D109,[2]contacts!$A$2:$A$400,[2]contacts!$G$2:$G$400)</f>
        <v>zyltsj@126.com</v>
      </c>
    </row>
    <row r="110" spans="1:44">
      <c r="A110" s="5" t="s">
        <v>38</v>
      </c>
      <c r="B110" s="6" t="s">
        <v>39</v>
      </c>
      <c r="C110" s="6" t="s">
        <v>40</v>
      </c>
      <c r="D110" s="17" t="s">
        <v>250</v>
      </c>
      <c r="E110" s="6" t="s">
        <v>251</v>
      </c>
      <c r="F110" s="7">
        <v>930</v>
      </c>
      <c r="G110" s="7">
        <v>583</v>
      </c>
      <c r="H110" s="7">
        <v>2376</v>
      </c>
      <c r="I110" s="7">
        <v>56</v>
      </c>
      <c r="J110" s="7">
        <v>0</v>
      </c>
      <c r="K110" s="7">
        <v>0</v>
      </c>
      <c r="L110" s="7">
        <v>837.83</v>
      </c>
      <c r="M110" s="7">
        <v>0</v>
      </c>
      <c r="N110" s="7">
        <v>0</v>
      </c>
      <c r="O110" s="7">
        <v>0</v>
      </c>
      <c r="P110" s="7">
        <v>5</v>
      </c>
      <c r="Q110" s="7">
        <v>0</v>
      </c>
      <c r="R110" s="7">
        <v>0</v>
      </c>
      <c r="S110" s="7">
        <v>0</v>
      </c>
      <c r="T110" s="7">
        <v>4787.83</v>
      </c>
      <c r="U110" s="7">
        <v>280</v>
      </c>
      <c r="V110" s="7">
        <v>0</v>
      </c>
      <c r="W110" s="7">
        <v>85.08</v>
      </c>
      <c r="X110" s="7">
        <v>15.13</v>
      </c>
      <c r="Y110" s="7">
        <v>0</v>
      </c>
      <c r="Z110" s="7">
        <v>4.6500000000000004</v>
      </c>
      <c r="AA110" s="7">
        <v>0</v>
      </c>
      <c r="AB110" s="7">
        <v>0</v>
      </c>
      <c r="AC110" s="7">
        <v>0</v>
      </c>
      <c r="AD110" s="7">
        <v>0</v>
      </c>
      <c r="AE110" s="7">
        <v>789</v>
      </c>
      <c r="AF110" s="7">
        <v>0</v>
      </c>
      <c r="AG110" s="7">
        <v>0</v>
      </c>
      <c r="AH110" s="7">
        <v>1173.8599999999999</v>
      </c>
      <c r="AI110" s="7">
        <v>3614.24</v>
      </c>
      <c r="AJ110" s="7">
        <v>0.27</v>
      </c>
      <c r="AK110" s="7">
        <v>0.24</v>
      </c>
      <c r="AL110" s="8">
        <v>3614</v>
      </c>
      <c r="AM110" s="14">
        <f>VLOOKUP(D110,[1]财务部报表_有人事号!$A$2:$D$400,3,0)</f>
        <v>1950</v>
      </c>
      <c r="AN110" s="14">
        <f>VLOOKUP(D110,[1]财务部报表_有人事号!$A$2:$E$400,4,0)</f>
        <v>54.09</v>
      </c>
      <c r="AR110" t="str">
        <f>LOOKUP(D110,[2]contacts!$A$2:$A$400,[2]contacts!$G$2:$G$400)</f>
        <v>xumingy@tom.com</v>
      </c>
    </row>
    <row r="111" spans="1:44">
      <c r="A111" s="5" t="s">
        <v>38</v>
      </c>
      <c r="B111" s="6" t="s">
        <v>39</v>
      </c>
      <c r="C111" s="6" t="s">
        <v>40</v>
      </c>
      <c r="D111" s="17" t="s">
        <v>252</v>
      </c>
      <c r="E111" s="6" t="s">
        <v>253</v>
      </c>
      <c r="F111" s="7">
        <v>1420</v>
      </c>
      <c r="G111" s="7">
        <v>767</v>
      </c>
      <c r="H111" s="7">
        <v>2779</v>
      </c>
      <c r="I111" s="7">
        <v>56</v>
      </c>
      <c r="J111" s="7">
        <v>0</v>
      </c>
      <c r="K111" s="7">
        <v>0</v>
      </c>
      <c r="L111" s="7">
        <v>54.68</v>
      </c>
      <c r="M111" s="7">
        <v>0</v>
      </c>
      <c r="N111" s="7">
        <v>0</v>
      </c>
      <c r="O111" s="7">
        <v>0</v>
      </c>
      <c r="P111" s="7">
        <v>5</v>
      </c>
      <c r="Q111" s="7">
        <v>0</v>
      </c>
      <c r="R111" s="7">
        <v>0</v>
      </c>
      <c r="S111" s="7">
        <v>0</v>
      </c>
      <c r="T111" s="7">
        <v>5081.68</v>
      </c>
      <c r="U111" s="7">
        <v>0</v>
      </c>
      <c r="V111" s="7">
        <v>159.6</v>
      </c>
      <c r="W111" s="7">
        <v>147.56</v>
      </c>
      <c r="X111" s="7">
        <v>21.87</v>
      </c>
      <c r="Y111" s="7">
        <v>14.46</v>
      </c>
      <c r="Z111" s="7">
        <v>7.1</v>
      </c>
      <c r="AA111" s="7">
        <v>0</v>
      </c>
      <c r="AB111" s="7">
        <v>0</v>
      </c>
      <c r="AC111" s="7">
        <v>0</v>
      </c>
      <c r="AD111" s="7">
        <v>0</v>
      </c>
      <c r="AE111" s="7">
        <v>1018</v>
      </c>
      <c r="AF111" s="7">
        <v>0</v>
      </c>
      <c r="AG111" s="7">
        <v>0</v>
      </c>
      <c r="AH111" s="7">
        <v>1368.59</v>
      </c>
      <c r="AI111" s="7">
        <v>3713.5</v>
      </c>
      <c r="AJ111" s="7">
        <v>0.41</v>
      </c>
      <c r="AK111" s="7">
        <v>0.5</v>
      </c>
      <c r="AL111" s="8">
        <v>3713</v>
      </c>
      <c r="AM111" s="14">
        <f>VLOOKUP(D111,[1]财务部报表_有人事号!$A$2:$D$400,3,0)</f>
        <v>3350</v>
      </c>
      <c r="AN111" s="14">
        <f>VLOOKUP(D111,[1]财务部报表_有人事号!$A$2:$E$400,4,0)</f>
        <v>263.75</v>
      </c>
      <c r="AR111" t="str">
        <f>LOOKUP(D111,[2]contacts!$A$2:$A$400,[2]contacts!$G$2:$G$400)</f>
        <v>whuhjp@163.com</v>
      </c>
    </row>
    <row r="112" spans="1:44">
      <c r="A112" s="5" t="s">
        <v>38</v>
      </c>
      <c r="B112" s="6" t="s">
        <v>39</v>
      </c>
      <c r="C112" s="6" t="s">
        <v>40</v>
      </c>
      <c r="D112" s="17" t="s">
        <v>254</v>
      </c>
      <c r="E112" s="6" t="s">
        <v>255</v>
      </c>
      <c r="F112" s="7">
        <v>1180</v>
      </c>
      <c r="G112" s="7">
        <v>904</v>
      </c>
      <c r="H112" s="7">
        <v>2468</v>
      </c>
      <c r="I112" s="7">
        <v>56</v>
      </c>
      <c r="J112" s="7">
        <v>0</v>
      </c>
      <c r="K112" s="7">
        <v>0</v>
      </c>
      <c r="L112" s="7">
        <v>52.1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4660.1000000000004</v>
      </c>
      <c r="U112" s="7">
        <v>0</v>
      </c>
      <c r="V112" s="7">
        <v>199.5</v>
      </c>
      <c r="W112" s="7">
        <v>223.13</v>
      </c>
      <c r="X112" s="7">
        <v>20.84</v>
      </c>
      <c r="Y112" s="7">
        <v>4.2</v>
      </c>
      <c r="Z112" s="7">
        <v>5.9</v>
      </c>
      <c r="AA112" s="7">
        <v>0</v>
      </c>
      <c r="AB112" s="7">
        <v>0</v>
      </c>
      <c r="AC112" s="7">
        <v>0</v>
      </c>
      <c r="AD112" s="7">
        <v>0</v>
      </c>
      <c r="AE112" s="7">
        <v>947</v>
      </c>
      <c r="AF112" s="7">
        <v>0</v>
      </c>
      <c r="AG112" s="7">
        <v>0</v>
      </c>
      <c r="AH112" s="7">
        <v>1400.57</v>
      </c>
      <c r="AI112" s="7">
        <v>3260.3</v>
      </c>
      <c r="AJ112" s="7">
        <v>0.77</v>
      </c>
      <c r="AK112" s="7">
        <v>0.3</v>
      </c>
      <c r="AL112" s="8">
        <v>3260</v>
      </c>
      <c r="AM112" s="14">
        <f>VLOOKUP(D112,[1]财务部报表_有人事号!$A$2:$D$400,3,0)</f>
        <v>2300</v>
      </c>
      <c r="AN112" s="14">
        <f>VLOOKUP(D112,[1]财务部报表_有人事号!$A$2:$E$400,4,0)</f>
        <v>134.82000000000002</v>
      </c>
      <c r="AR112" t="str">
        <f>LOOKUP(D112,[2]contacts!$A$2:$A$400,[2]contacts!$G$2:$G$400)</f>
        <v>mingli@whu.edu.cn</v>
      </c>
    </row>
    <row r="113" spans="1:44">
      <c r="A113" s="5" t="s">
        <v>38</v>
      </c>
      <c r="B113" s="6" t="s">
        <v>39</v>
      </c>
      <c r="C113" s="6" t="s">
        <v>40</v>
      </c>
      <c r="D113" s="17" t="s">
        <v>256</v>
      </c>
      <c r="E113" s="6" t="s">
        <v>257</v>
      </c>
      <c r="F113" s="7">
        <v>1420</v>
      </c>
      <c r="G113" s="7">
        <v>1109</v>
      </c>
      <c r="H113" s="7">
        <v>2779</v>
      </c>
      <c r="I113" s="7">
        <v>56</v>
      </c>
      <c r="J113" s="7">
        <v>0</v>
      </c>
      <c r="K113" s="7">
        <v>0</v>
      </c>
      <c r="L113" s="7">
        <v>63.23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5427.23</v>
      </c>
      <c r="U113" s="7">
        <v>0</v>
      </c>
      <c r="V113" s="7">
        <v>0</v>
      </c>
      <c r="W113" s="7">
        <v>73.78</v>
      </c>
      <c r="X113" s="7">
        <v>25.29</v>
      </c>
      <c r="Y113" s="7">
        <v>22.04</v>
      </c>
      <c r="Z113" s="7">
        <v>7.1</v>
      </c>
      <c r="AA113" s="7">
        <v>0</v>
      </c>
      <c r="AB113" s="7">
        <v>0</v>
      </c>
      <c r="AC113" s="7">
        <v>0</v>
      </c>
      <c r="AD113" s="7">
        <v>0</v>
      </c>
      <c r="AE113" s="7">
        <v>1104</v>
      </c>
      <c r="AF113" s="7">
        <v>0</v>
      </c>
      <c r="AG113" s="7">
        <v>0</v>
      </c>
      <c r="AH113" s="7">
        <v>1232.21</v>
      </c>
      <c r="AI113" s="7">
        <v>4195.96</v>
      </c>
      <c r="AJ113" s="7">
        <v>0.94</v>
      </c>
      <c r="AK113" s="7">
        <v>0.96</v>
      </c>
      <c r="AL113" s="8">
        <v>4195</v>
      </c>
      <c r="AM113" s="14">
        <f>VLOOKUP(D113,[1]财务部报表_有人事号!$A$2:$D$400,3,0)</f>
        <v>3350</v>
      </c>
      <c r="AN113" s="14">
        <f>VLOOKUP(D113,[1]财务部报表_有人事号!$A$2:$E$400,4,0)</f>
        <v>281.43</v>
      </c>
      <c r="AR113" t="str">
        <f>LOOKUP(D113,[2]contacts!$A$2:$A$400,[2]contacts!$G$2:$G$400)</f>
        <v>laiguowei@sina.com.cn</v>
      </c>
    </row>
    <row r="114" spans="1:44">
      <c r="A114" s="5" t="s">
        <v>38</v>
      </c>
      <c r="B114" s="6" t="s">
        <v>39</v>
      </c>
      <c r="C114" s="6" t="s">
        <v>40</v>
      </c>
      <c r="D114" s="17" t="s">
        <v>258</v>
      </c>
      <c r="E114" s="6" t="s">
        <v>259</v>
      </c>
      <c r="F114" s="7">
        <v>1180</v>
      </c>
      <c r="G114" s="7">
        <v>944</v>
      </c>
      <c r="H114" s="7">
        <v>2468</v>
      </c>
      <c r="I114" s="7">
        <v>56</v>
      </c>
      <c r="J114" s="7">
        <v>20</v>
      </c>
      <c r="K114" s="7">
        <v>0</v>
      </c>
      <c r="L114" s="7">
        <v>53.11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4721.1099999999997</v>
      </c>
      <c r="U114" s="7">
        <v>0</v>
      </c>
      <c r="V114" s="7">
        <v>0</v>
      </c>
      <c r="W114" s="7">
        <v>0.59</v>
      </c>
      <c r="X114" s="7">
        <v>21.24</v>
      </c>
      <c r="Y114" s="7">
        <v>5.69</v>
      </c>
      <c r="Z114" s="7">
        <v>5.9</v>
      </c>
      <c r="AA114" s="7">
        <v>0</v>
      </c>
      <c r="AB114" s="7">
        <v>0</v>
      </c>
      <c r="AC114" s="7">
        <v>0</v>
      </c>
      <c r="AD114" s="7">
        <v>0</v>
      </c>
      <c r="AE114" s="7">
        <v>957</v>
      </c>
      <c r="AF114" s="7">
        <v>0</v>
      </c>
      <c r="AG114" s="7">
        <v>0</v>
      </c>
      <c r="AH114" s="7">
        <v>990.42</v>
      </c>
      <c r="AI114" s="7">
        <v>3731.18</v>
      </c>
      <c r="AJ114" s="7">
        <v>0.49</v>
      </c>
      <c r="AK114" s="7">
        <v>0.18</v>
      </c>
      <c r="AL114" s="8">
        <v>3731</v>
      </c>
      <c r="AM114" s="14">
        <f>VLOOKUP(D114,[1]财务部报表_有人事号!$A$2:$D$400,3,0)</f>
        <v>2300</v>
      </c>
      <c r="AN114" s="14">
        <f>VLOOKUP(D114,[1]财务部报表_有人事号!$A$2:$E$400,4,0)</f>
        <v>138.29</v>
      </c>
      <c r="AR114" t="str">
        <f>LOOKUP(D114,[2]contacts!$A$2:$A$400,[2]contacts!$G$2:$G$400)</f>
        <v>sgjg2219@tom.com</v>
      </c>
    </row>
    <row r="115" spans="1:44">
      <c r="A115" s="5" t="s">
        <v>38</v>
      </c>
      <c r="B115" s="6" t="s">
        <v>39</v>
      </c>
      <c r="C115" s="6" t="s">
        <v>40</v>
      </c>
      <c r="D115" s="17" t="s">
        <v>260</v>
      </c>
      <c r="E115" s="6" t="s">
        <v>261</v>
      </c>
      <c r="F115" s="7">
        <v>1420</v>
      </c>
      <c r="G115" s="7">
        <v>984</v>
      </c>
      <c r="H115" s="7">
        <v>2779</v>
      </c>
      <c r="I115" s="7">
        <v>56</v>
      </c>
      <c r="J115" s="7">
        <v>0</v>
      </c>
      <c r="K115" s="7">
        <v>0</v>
      </c>
      <c r="L115" s="7">
        <v>60.1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5299.1</v>
      </c>
      <c r="U115" s="7">
        <v>0</v>
      </c>
      <c r="V115" s="7">
        <v>0</v>
      </c>
      <c r="W115" s="7">
        <v>0</v>
      </c>
      <c r="X115" s="7">
        <v>24.04</v>
      </c>
      <c r="Y115" s="7">
        <v>19.260000000000002</v>
      </c>
      <c r="Z115" s="7">
        <v>7.1</v>
      </c>
      <c r="AA115" s="7">
        <v>0</v>
      </c>
      <c r="AB115" s="7">
        <v>0</v>
      </c>
      <c r="AC115" s="7">
        <v>0</v>
      </c>
      <c r="AD115" s="7">
        <v>0</v>
      </c>
      <c r="AE115" s="7">
        <v>1073</v>
      </c>
      <c r="AF115" s="7">
        <v>0</v>
      </c>
      <c r="AG115" s="7">
        <v>0</v>
      </c>
      <c r="AH115" s="7">
        <v>1123.4000000000001</v>
      </c>
      <c r="AI115" s="7">
        <v>4175.9799999999996</v>
      </c>
      <c r="AJ115" s="7">
        <v>0.28000000000000003</v>
      </c>
      <c r="AK115" s="7">
        <v>0.98</v>
      </c>
      <c r="AL115" s="8">
        <v>4175</v>
      </c>
      <c r="AM115" s="14">
        <f>VLOOKUP(D115,[1]财务部报表_有人事号!$A$2:$D$400,3,0)</f>
        <v>3350</v>
      </c>
      <c r="AN115" s="14">
        <f>VLOOKUP(D115,[1]财务部报表_有人事号!$A$2:$E$400,4,0)</f>
        <v>274.94</v>
      </c>
      <c r="AR115" t="str">
        <f>LOOKUP(D115,[2]contacts!$A$2:$A$400,[2]contacts!$G$2:$G$400)</f>
        <v>cxshe@126.com</v>
      </c>
    </row>
    <row r="116" spans="1:44">
      <c r="A116" s="5" t="s">
        <v>38</v>
      </c>
      <c r="B116" s="6" t="s">
        <v>39</v>
      </c>
      <c r="C116" s="6" t="s">
        <v>40</v>
      </c>
      <c r="D116" s="17" t="s">
        <v>262</v>
      </c>
      <c r="E116" s="6" t="s">
        <v>263</v>
      </c>
      <c r="F116" s="7">
        <v>1040</v>
      </c>
      <c r="G116" s="7">
        <v>834</v>
      </c>
      <c r="H116" s="7">
        <v>2413</v>
      </c>
      <c r="I116" s="7">
        <v>56</v>
      </c>
      <c r="J116" s="7">
        <v>0</v>
      </c>
      <c r="K116" s="7">
        <v>0</v>
      </c>
      <c r="L116" s="7">
        <v>46.85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4389.8500000000004</v>
      </c>
      <c r="U116" s="7">
        <v>0</v>
      </c>
      <c r="V116" s="7">
        <v>0</v>
      </c>
      <c r="W116" s="7">
        <v>0</v>
      </c>
      <c r="X116" s="7">
        <v>18.739999999999998</v>
      </c>
      <c r="Y116" s="7">
        <v>0</v>
      </c>
      <c r="Z116" s="7">
        <v>5.2</v>
      </c>
      <c r="AA116" s="7">
        <v>0</v>
      </c>
      <c r="AB116" s="7">
        <v>0</v>
      </c>
      <c r="AC116" s="7">
        <v>0</v>
      </c>
      <c r="AD116" s="7">
        <v>0</v>
      </c>
      <c r="AE116" s="7">
        <v>885</v>
      </c>
      <c r="AF116" s="7">
        <v>0</v>
      </c>
      <c r="AG116" s="7">
        <v>0</v>
      </c>
      <c r="AH116" s="7">
        <v>908.94</v>
      </c>
      <c r="AI116" s="7">
        <v>3481.44</v>
      </c>
      <c r="AJ116" s="7">
        <v>0.53</v>
      </c>
      <c r="AK116" s="7">
        <v>0.44</v>
      </c>
      <c r="AL116" s="8">
        <v>3481</v>
      </c>
      <c r="AM116" s="14">
        <f>VLOOKUP(D116,[1]财务部报表_有人事号!$A$2:$D$400,3,0)</f>
        <v>2100</v>
      </c>
      <c r="AN116" s="14">
        <f>VLOOKUP(D116,[1]财务部报表_有人事号!$A$2:$E$400,4,0)</f>
        <v>98.93</v>
      </c>
      <c r="AR116" t="str">
        <f>LOOKUP(D116,[2]contacts!$A$2:$A$400,[2]contacts!$G$2:$G$400)</f>
        <v>enai@whu.edu.cn</v>
      </c>
    </row>
    <row r="117" spans="1:44">
      <c r="A117" s="5" t="s">
        <v>38</v>
      </c>
      <c r="B117" s="6" t="s">
        <v>39</v>
      </c>
      <c r="C117" s="6" t="s">
        <v>40</v>
      </c>
      <c r="D117" s="17" t="s">
        <v>264</v>
      </c>
      <c r="E117" s="6" t="s">
        <v>265</v>
      </c>
      <c r="F117" s="7">
        <v>1420</v>
      </c>
      <c r="G117" s="7">
        <v>1109</v>
      </c>
      <c r="H117" s="7">
        <v>2779</v>
      </c>
      <c r="I117" s="7">
        <v>56</v>
      </c>
      <c r="J117" s="7">
        <v>0</v>
      </c>
      <c r="K117" s="7">
        <v>0</v>
      </c>
      <c r="L117" s="7">
        <v>63.23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5427.23</v>
      </c>
      <c r="U117" s="7">
        <v>0</v>
      </c>
      <c r="V117" s="7">
        <v>0</v>
      </c>
      <c r="W117" s="7">
        <v>0</v>
      </c>
      <c r="X117" s="7">
        <v>25.29</v>
      </c>
      <c r="Y117" s="7">
        <v>22.04</v>
      </c>
      <c r="Z117" s="7">
        <v>7.1</v>
      </c>
      <c r="AA117" s="7">
        <v>0</v>
      </c>
      <c r="AB117" s="7">
        <v>0</v>
      </c>
      <c r="AC117" s="7">
        <v>0</v>
      </c>
      <c r="AD117" s="7">
        <v>0</v>
      </c>
      <c r="AE117" s="7">
        <v>1104</v>
      </c>
      <c r="AF117" s="7">
        <v>0</v>
      </c>
      <c r="AG117" s="7">
        <v>0</v>
      </c>
      <c r="AH117" s="7">
        <v>1158.43</v>
      </c>
      <c r="AI117" s="7">
        <v>4269.54</v>
      </c>
      <c r="AJ117" s="7">
        <v>0.74</v>
      </c>
      <c r="AK117" s="7">
        <v>0.54</v>
      </c>
      <c r="AL117" s="8">
        <v>4269</v>
      </c>
      <c r="AM117" s="14">
        <f>VLOOKUP(D117,[1]财务部报表_有人事号!$A$2:$D$400,3,0)</f>
        <v>3350</v>
      </c>
      <c r="AN117" s="14">
        <f>VLOOKUP(D117,[1]财务部报表_有人事号!$A$2:$E$400,4,0)</f>
        <v>281.43</v>
      </c>
      <c r="AR117" t="str">
        <f>LOOKUP(D117,[2]contacts!$A$2:$A$400,[2]contacts!$G$2:$G$400)</f>
        <v>ylhe2002@yahoo.com.cn</v>
      </c>
    </row>
    <row r="118" spans="1:44">
      <c r="A118" s="5" t="s">
        <v>38</v>
      </c>
      <c r="B118" s="6" t="s">
        <v>39</v>
      </c>
      <c r="C118" s="6" t="s">
        <v>40</v>
      </c>
      <c r="D118" s="17" t="s">
        <v>266</v>
      </c>
      <c r="E118" s="6" t="s">
        <v>267</v>
      </c>
      <c r="F118" s="7">
        <v>780</v>
      </c>
      <c r="G118" s="7">
        <v>703</v>
      </c>
      <c r="H118" s="7">
        <v>2139</v>
      </c>
      <c r="I118" s="7">
        <v>56</v>
      </c>
      <c r="J118" s="7">
        <v>0</v>
      </c>
      <c r="K118" s="7">
        <v>0</v>
      </c>
      <c r="L118" s="7">
        <v>37.08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3715.08</v>
      </c>
      <c r="U118" s="7">
        <v>0</v>
      </c>
      <c r="V118" s="7">
        <v>19</v>
      </c>
      <c r="W118" s="7">
        <v>161.84</v>
      </c>
      <c r="X118" s="7">
        <v>14.83</v>
      </c>
      <c r="Y118" s="7">
        <v>0</v>
      </c>
      <c r="Z118" s="7">
        <v>3.9</v>
      </c>
      <c r="AA118" s="7">
        <v>0</v>
      </c>
      <c r="AB118" s="7">
        <v>0</v>
      </c>
      <c r="AC118" s="7">
        <v>0</v>
      </c>
      <c r="AD118" s="7">
        <v>0</v>
      </c>
      <c r="AE118" s="7">
        <v>742</v>
      </c>
      <c r="AF118" s="7">
        <v>0</v>
      </c>
      <c r="AG118" s="7">
        <v>0</v>
      </c>
      <c r="AH118" s="7">
        <v>941.57</v>
      </c>
      <c r="AI118" s="7">
        <v>2774.49</v>
      </c>
      <c r="AJ118" s="7">
        <v>0.98</v>
      </c>
      <c r="AK118" s="7">
        <v>0.49</v>
      </c>
      <c r="AL118" s="8">
        <v>2774</v>
      </c>
      <c r="AM118" s="14">
        <f>VLOOKUP(D118,[1]财务部报表_有人事号!$A$2:$D$400,3,0)</f>
        <v>1580</v>
      </c>
      <c r="AN118" s="14">
        <f>VLOOKUP(D118,[1]财务部报表_有人事号!$A$2:$E$400,4,0)</f>
        <v>30.04</v>
      </c>
      <c r="AR118" t="str">
        <f>LOOKUP(D118,[2]contacts!$A$2:$A$400,[2]contacts!$G$2:$G$400)</f>
        <v>leichuanhua@163.com</v>
      </c>
    </row>
    <row r="119" spans="1:44">
      <c r="A119" s="5" t="s">
        <v>38</v>
      </c>
      <c r="B119" s="6" t="s">
        <v>39</v>
      </c>
      <c r="C119" s="6" t="s">
        <v>40</v>
      </c>
      <c r="D119" s="17" t="s">
        <v>268</v>
      </c>
      <c r="E119" s="6" t="s">
        <v>269</v>
      </c>
      <c r="F119" s="7">
        <v>1900</v>
      </c>
      <c r="G119" s="7">
        <v>1434</v>
      </c>
      <c r="H119" s="7">
        <v>3108</v>
      </c>
      <c r="I119" s="7">
        <v>56</v>
      </c>
      <c r="J119" s="7">
        <v>0</v>
      </c>
      <c r="K119" s="7">
        <v>0</v>
      </c>
      <c r="L119" s="7">
        <v>83.35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6581.35</v>
      </c>
      <c r="U119" s="7">
        <v>0</v>
      </c>
      <c r="V119" s="7">
        <v>723.9</v>
      </c>
      <c r="W119" s="7">
        <v>0</v>
      </c>
      <c r="X119" s="7">
        <v>33.340000000000003</v>
      </c>
      <c r="Y119" s="7">
        <v>54.87</v>
      </c>
      <c r="Z119" s="7">
        <v>9.5</v>
      </c>
      <c r="AA119" s="7">
        <v>0</v>
      </c>
      <c r="AB119" s="7">
        <v>0</v>
      </c>
      <c r="AC119" s="7">
        <v>0</v>
      </c>
      <c r="AD119" s="7">
        <v>0</v>
      </c>
      <c r="AE119" s="7">
        <v>1366</v>
      </c>
      <c r="AF119" s="7">
        <v>0</v>
      </c>
      <c r="AG119" s="7">
        <v>0</v>
      </c>
      <c r="AH119" s="7">
        <v>2187.61</v>
      </c>
      <c r="AI119" s="7">
        <v>4394.58</v>
      </c>
      <c r="AJ119" s="7">
        <v>0.84</v>
      </c>
      <c r="AK119" s="7">
        <v>0.57999999999999996</v>
      </c>
      <c r="AL119" s="8">
        <v>4394</v>
      </c>
      <c r="AM119" s="14">
        <f>VLOOKUP(D119,[1]财务部报表_有人事号!$A$2:$D$400,3,0)</f>
        <v>4950</v>
      </c>
      <c r="AN119" s="14">
        <f>VLOOKUP(D119,[1]财务部报表_有人事号!$A$2:$E$400,4,0)</f>
        <v>699.86</v>
      </c>
      <c r="AR119" t="str">
        <f>LOOKUP(D119,[2]contacts!$A$2:$A$400,[2]contacts!$G$2:$G$400)</f>
        <v>chensh@whu.edu.cn</v>
      </c>
    </row>
    <row r="120" spans="1:44">
      <c r="A120" s="5" t="s">
        <v>38</v>
      </c>
      <c r="B120" s="6" t="s">
        <v>39</v>
      </c>
      <c r="C120" s="6" t="s">
        <v>40</v>
      </c>
      <c r="D120" s="17" t="s">
        <v>270</v>
      </c>
      <c r="E120" s="6" t="s">
        <v>271</v>
      </c>
      <c r="F120" s="7">
        <v>1420</v>
      </c>
      <c r="G120" s="7">
        <v>944</v>
      </c>
      <c r="H120" s="7">
        <v>2779</v>
      </c>
      <c r="I120" s="7">
        <v>56</v>
      </c>
      <c r="J120" s="7">
        <v>0</v>
      </c>
      <c r="K120" s="7">
        <v>0</v>
      </c>
      <c r="L120" s="7">
        <v>59.1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5258.1</v>
      </c>
      <c r="U120" s="7">
        <v>0</v>
      </c>
      <c r="V120" s="7">
        <v>28.5</v>
      </c>
      <c r="W120" s="7">
        <v>209.44</v>
      </c>
      <c r="X120" s="7">
        <v>23.64</v>
      </c>
      <c r="Y120" s="7">
        <v>18.37</v>
      </c>
      <c r="Z120" s="7">
        <v>7.1</v>
      </c>
      <c r="AA120" s="7">
        <v>0</v>
      </c>
      <c r="AB120" s="7">
        <v>0</v>
      </c>
      <c r="AC120" s="7">
        <v>0</v>
      </c>
      <c r="AD120" s="7">
        <v>0</v>
      </c>
      <c r="AE120" s="7">
        <v>1063</v>
      </c>
      <c r="AF120" s="7">
        <v>0</v>
      </c>
      <c r="AG120" s="7">
        <v>0</v>
      </c>
      <c r="AH120" s="7">
        <v>1350.05</v>
      </c>
      <c r="AI120" s="7">
        <v>3908.42</v>
      </c>
      <c r="AJ120" s="7">
        <v>0.37</v>
      </c>
      <c r="AK120" s="7">
        <v>0.42</v>
      </c>
      <c r="AL120" s="8">
        <v>3908</v>
      </c>
      <c r="AM120" s="14">
        <f>VLOOKUP(D120,[1]财务部报表_有人事号!$A$2:$D$400,3,0)</f>
        <v>3350</v>
      </c>
      <c r="AN120" s="14">
        <f>VLOOKUP(D120,[1]财务部报表_有人事号!$A$2:$E$400,4,0)</f>
        <v>272.87</v>
      </c>
      <c r="AR120" t="str">
        <f>LOOKUP(D120,[2]contacts!$A$2:$A$400,[2]contacts!$G$2:$G$400)</f>
        <v>jxwang@whu.edu.cn</v>
      </c>
    </row>
    <row r="121" spans="1:44">
      <c r="A121" s="5" t="s">
        <v>38</v>
      </c>
      <c r="B121" s="6" t="s">
        <v>39</v>
      </c>
      <c r="C121" s="6" t="s">
        <v>40</v>
      </c>
      <c r="D121" s="17" t="s">
        <v>272</v>
      </c>
      <c r="E121" s="6" t="s">
        <v>273</v>
      </c>
      <c r="F121" s="7">
        <v>730</v>
      </c>
      <c r="G121" s="7">
        <v>527</v>
      </c>
      <c r="H121" s="7">
        <v>2102</v>
      </c>
      <c r="I121" s="7">
        <v>56</v>
      </c>
      <c r="J121" s="7">
        <v>20</v>
      </c>
      <c r="K121" s="7">
        <v>0</v>
      </c>
      <c r="L121" s="7">
        <v>31.43</v>
      </c>
      <c r="M121" s="7">
        <v>0</v>
      </c>
      <c r="N121" s="7">
        <v>0</v>
      </c>
      <c r="O121" s="7">
        <v>0</v>
      </c>
      <c r="P121" s="7">
        <v>5</v>
      </c>
      <c r="Q121" s="7">
        <v>0</v>
      </c>
      <c r="R121" s="7">
        <v>0</v>
      </c>
      <c r="S121" s="7">
        <v>0</v>
      </c>
      <c r="T121" s="7">
        <v>3471.43</v>
      </c>
      <c r="U121" s="7">
        <v>0</v>
      </c>
      <c r="V121" s="7">
        <v>0</v>
      </c>
      <c r="W121" s="7">
        <v>1.19</v>
      </c>
      <c r="X121" s="7">
        <v>12.57</v>
      </c>
      <c r="Y121" s="7">
        <v>0</v>
      </c>
      <c r="Z121" s="7">
        <v>3.65</v>
      </c>
      <c r="AA121" s="7">
        <v>0</v>
      </c>
      <c r="AB121" s="7">
        <v>0</v>
      </c>
      <c r="AC121" s="7">
        <v>0</v>
      </c>
      <c r="AD121" s="7">
        <v>0</v>
      </c>
      <c r="AE121" s="7">
        <v>679</v>
      </c>
      <c r="AF121" s="7">
        <v>0</v>
      </c>
      <c r="AG121" s="7">
        <v>0</v>
      </c>
      <c r="AH121" s="7">
        <v>696.41</v>
      </c>
      <c r="AI121" s="7">
        <v>2775.04</v>
      </c>
      <c r="AJ121" s="7">
        <v>0.02</v>
      </c>
      <c r="AK121" s="7">
        <v>0.04</v>
      </c>
      <c r="AL121" s="8">
        <v>2775</v>
      </c>
      <c r="AM121" s="14">
        <f>VLOOKUP(D121,[1]财务部报表_有人事号!$A$2:$D$400,3,0)</f>
        <v>2480</v>
      </c>
      <c r="AN121" s="14">
        <f>VLOOKUP(D121,[1]财务部报表_有人事号!$A$2:$E$400,4,0)</f>
        <v>67.34</v>
      </c>
      <c r="AR121" t="str">
        <f>LOOKUP(D121,[2]contacts!$A$2:$A$400,[2]contacts!$G$2:$G$400)</f>
        <v>1270954527@qq.com</v>
      </c>
    </row>
    <row r="122" spans="1:44">
      <c r="A122" s="5" t="s">
        <v>38</v>
      </c>
      <c r="B122" s="6" t="s">
        <v>39</v>
      </c>
      <c r="C122" s="6" t="s">
        <v>40</v>
      </c>
      <c r="D122" s="17" t="s">
        <v>274</v>
      </c>
      <c r="E122" s="6" t="s">
        <v>275</v>
      </c>
      <c r="F122" s="7">
        <v>930</v>
      </c>
      <c r="G122" s="7">
        <v>499</v>
      </c>
      <c r="H122" s="7">
        <v>2376</v>
      </c>
      <c r="I122" s="7">
        <v>56</v>
      </c>
      <c r="J122" s="7">
        <v>20</v>
      </c>
      <c r="K122" s="7">
        <v>0</v>
      </c>
      <c r="L122" s="7">
        <v>35.729999999999997</v>
      </c>
      <c r="M122" s="7">
        <v>0</v>
      </c>
      <c r="N122" s="7">
        <v>0</v>
      </c>
      <c r="O122" s="7">
        <v>0</v>
      </c>
      <c r="P122" s="7">
        <v>5</v>
      </c>
      <c r="Q122" s="7">
        <v>0</v>
      </c>
      <c r="R122" s="7">
        <v>0</v>
      </c>
      <c r="S122" s="7">
        <v>0</v>
      </c>
      <c r="T122" s="7">
        <v>3921.73</v>
      </c>
      <c r="U122" s="7">
        <v>0</v>
      </c>
      <c r="V122" s="7">
        <v>167.2</v>
      </c>
      <c r="W122" s="7">
        <v>102.94</v>
      </c>
      <c r="X122" s="7">
        <v>14.29</v>
      </c>
      <c r="Y122" s="7">
        <v>0</v>
      </c>
      <c r="Z122" s="7">
        <v>4.6500000000000004</v>
      </c>
      <c r="AA122" s="7">
        <v>0</v>
      </c>
      <c r="AB122" s="7">
        <v>0</v>
      </c>
      <c r="AC122" s="7">
        <v>0</v>
      </c>
      <c r="AD122" s="7">
        <v>0</v>
      </c>
      <c r="AE122" s="7">
        <v>768</v>
      </c>
      <c r="AF122" s="7">
        <v>0</v>
      </c>
      <c r="AG122" s="7">
        <v>0</v>
      </c>
      <c r="AH122" s="7">
        <v>1057.08</v>
      </c>
      <c r="AI122" s="7">
        <v>2864.77</v>
      </c>
      <c r="AJ122" s="7">
        <v>0.12</v>
      </c>
      <c r="AK122" s="7">
        <v>0.77</v>
      </c>
      <c r="AL122" s="8">
        <v>2864</v>
      </c>
      <c r="AM122" s="14">
        <f>VLOOKUP(D122,[1]财务部报表_有人事号!$A$2:$D$400,3,0)</f>
        <v>1950</v>
      </c>
      <c r="AN122" s="14">
        <f>VLOOKUP(D122,[1]财务部报表_有人事号!$A$2:$E$400,4,0)</f>
        <v>49.87</v>
      </c>
      <c r="AR122" t="str">
        <f>LOOKUP(D122,[2]contacts!$A$2:$A$400,[2]contacts!$G$2:$G$400)</f>
        <v>xy751024@126.com</v>
      </c>
    </row>
    <row r="123" spans="1:44">
      <c r="A123" s="5" t="s">
        <v>38</v>
      </c>
      <c r="B123" s="6" t="s">
        <v>39</v>
      </c>
      <c r="C123" s="6" t="s">
        <v>40</v>
      </c>
      <c r="D123" s="17" t="s">
        <v>276</v>
      </c>
      <c r="E123" s="6" t="s">
        <v>277</v>
      </c>
      <c r="F123" s="7">
        <v>1420</v>
      </c>
      <c r="G123" s="7">
        <v>767</v>
      </c>
      <c r="H123" s="7">
        <v>2779</v>
      </c>
      <c r="I123" s="7">
        <v>56</v>
      </c>
      <c r="J123" s="7">
        <v>0</v>
      </c>
      <c r="K123" s="7">
        <v>0</v>
      </c>
      <c r="L123" s="7">
        <v>54.68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5076.68</v>
      </c>
      <c r="U123" s="7">
        <v>15</v>
      </c>
      <c r="V123" s="7">
        <v>114</v>
      </c>
      <c r="W123" s="7">
        <v>55.93</v>
      </c>
      <c r="X123" s="7">
        <v>21.87</v>
      </c>
      <c r="Y123" s="7">
        <v>14.46</v>
      </c>
      <c r="Z123" s="7">
        <v>7.1</v>
      </c>
      <c r="AA123" s="7">
        <v>0</v>
      </c>
      <c r="AB123" s="7">
        <v>0</v>
      </c>
      <c r="AC123" s="7">
        <v>0</v>
      </c>
      <c r="AD123" s="7">
        <v>0</v>
      </c>
      <c r="AE123" s="7">
        <v>1018</v>
      </c>
      <c r="AF123" s="7">
        <v>0</v>
      </c>
      <c r="AG123" s="7">
        <v>0</v>
      </c>
      <c r="AH123" s="7">
        <v>1246.3599999999999</v>
      </c>
      <c r="AI123" s="7">
        <v>3830.5</v>
      </c>
      <c r="AJ123" s="7">
        <v>0.18</v>
      </c>
      <c r="AK123" s="7">
        <v>0.5</v>
      </c>
      <c r="AL123" s="8">
        <v>3830</v>
      </c>
      <c r="AM123" s="14">
        <f>VLOOKUP(D123,[1]财务部报表_有人事号!$A$2:$D$400,3,0)</f>
        <v>3350</v>
      </c>
      <c r="AN123" s="14">
        <f>VLOOKUP(D123,[1]财务部报表_有人事号!$A$2:$E$400,4,0)</f>
        <v>263.75</v>
      </c>
      <c r="AR123" t="str">
        <f>LOOKUP(D123,[2]contacts!$A$2:$A$400,[2]contacts!$G$2:$G$400)</f>
        <v>hch_2003@163.com</v>
      </c>
    </row>
    <row r="124" spans="1:44">
      <c r="A124" s="5" t="s">
        <v>38</v>
      </c>
      <c r="B124" s="6" t="s">
        <v>39</v>
      </c>
      <c r="C124" s="6" t="s">
        <v>40</v>
      </c>
      <c r="D124" s="17" t="s">
        <v>278</v>
      </c>
      <c r="E124" s="6" t="s">
        <v>279</v>
      </c>
      <c r="F124" s="7">
        <v>1180</v>
      </c>
      <c r="G124" s="7">
        <v>1244</v>
      </c>
      <c r="H124" s="7">
        <v>2468</v>
      </c>
      <c r="I124" s="7">
        <v>56</v>
      </c>
      <c r="J124" s="7">
        <v>0</v>
      </c>
      <c r="K124" s="7">
        <v>0</v>
      </c>
      <c r="L124" s="7">
        <v>60.6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5008.6000000000004</v>
      </c>
      <c r="U124" s="7">
        <v>0</v>
      </c>
      <c r="V124" s="7">
        <v>165.3</v>
      </c>
      <c r="W124" s="7">
        <v>190.4</v>
      </c>
      <c r="X124" s="7">
        <v>24.24</v>
      </c>
      <c r="Y124" s="7">
        <v>11.75</v>
      </c>
      <c r="Z124" s="7">
        <v>5.9</v>
      </c>
      <c r="AA124" s="7">
        <v>0</v>
      </c>
      <c r="AB124" s="7">
        <v>0</v>
      </c>
      <c r="AC124" s="7">
        <v>0</v>
      </c>
      <c r="AD124" s="7">
        <v>0</v>
      </c>
      <c r="AE124" s="7">
        <v>1032</v>
      </c>
      <c r="AF124" s="7">
        <v>0</v>
      </c>
      <c r="AG124" s="7">
        <v>0</v>
      </c>
      <c r="AH124" s="7">
        <v>1429.59</v>
      </c>
      <c r="AI124" s="7">
        <v>3579.56</v>
      </c>
      <c r="AJ124" s="7">
        <v>0.55000000000000004</v>
      </c>
      <c r="AK124" s="7">
        <v>0.56000000000000005</v>
      </c>
      <c r="AL124" s="8">
        <v>3579</v>
      </c>
      <c r="AM124" s="14">
        <f>VLOOKUP(D124,[1]财务部报表_有人事号!$A$2:$D$400,3,0)</f>
        <v>2300</v>
      </c>
      <c r="AN124" s="14">
        <f>VLOOKUP(D124,[1]财务部报表_有人事号!$A$2:$E$400,4,0)</f>
        <v>152.43</v>
      </c>
      <c r="AR124" t="str">
        <f>LOOKUP(D124,[2]contacts!$A$2:$A$400,[2]contacts!$G$2:$G$400)</f>
        <v>cyzhu@whu.edu.cn</v>
      </c>
    </row>
    <row r="125" spans="1:44">
      <c r="A125" s="5" t="s">
        <v>38</v>
      </c>
      <c r="B125" s="6" t="s">
        <v>39</v>
      </c>
      <c r="C125" s="6" t="s">
        <v>40</v>
      </c>
      <c r="D125" s="17" t="s">
        <v>280</v>
      </c>
      <c r="E125" s="6" t="s">
        <v>281</v>
      </c>
      <c r="F125" s="7">
        <v>1040</v>
      </c>
      <c r="G125" s="7">
        <v>984</v>
      </c>
      <c r="H125" s="7">
        <v>2413</v>
      </c>
      <c r="I125" s="7">
        <v>56</v>
      </c>
      <c r="J125" s="7">
        <v>0</v>
      </c>
      <c r="K125" s="7">
        <v>0</v>
      </c>
      <c r="L125" s="7">
        <v>50.6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4543.6000000000004</v>
      </c>
      <c r="U125" s="7">
        <v>0</v>
      </c>
      <c r="V125" s="7">
        <v>114</v>
      </c>
      <c r="W125" s="7">
        <v>69.02</v>
      </c>
      <c r="X125" s="7">
        <v>20.239999999999998</v>
      </c>
      <c r="Y125" s="7">
        <v>1.49</v>
      </c>
      <c r="Z125" s="7">
        <v>5.2</v>
      </c>
      <c r="AA125" s="7">
        <v>0</v>
      </c>
      <c r="AB125" s="7">
        <v>0</v>
      </c>
      <c r="AC125" s="7">
        <v>0</v>
      </c>
      <c r="AD125" s="7">
        <v>0</v>
      </c>
      <c r="AE125" s="7">
        <v>923</v>
      </c>
      <c r="AF125" s="7">
        <v>0</v>
      </c>
      <c r="AG125" s="7">
        <v>0</v>
      </c>
      <c r="AH125" s="7">
        <v>1132.95</v>
      </c>
      <c r="AI125" s="7">
        <v>3411.29</v>
      </c>
      <c r="AJ125" s="7">
        <v>0.64</v>
      </c>
      <c r="AK125" s="7">
        <v>0.28999999999999998</v>
      </c>
      <c r="AL125" s="8">
        <v>3411</v>
      </c>
      <c r="AM125" s="14">
        <f>VLOOKUP(D125,[1]财务部报表_有人事号!$A$2:$D$400,3,0)</f>
        <v>2100</v>
      </c>
      <c r="AN125" s="14">
        <f>VLOOKUP(D125,[1]财务部报表_有人事号!$A$2:$E$400,4,0)</f>
        <v>108.49000000000001</v>
      </c>
      <c r="AR125" t="str">
        <f>LOOKUP(D125,[2]contacts!$A$2:$A$400,[2]contacts!$G$2:$G$400)</f>
        <v>77lpz@163.com</v>
      </c>
    </row>
    <row r="126" spans="1:44">
      <c r="A126" s="5" t="s">
        <v>38</v>
      </c>
      <c r="B126" s="6" t="s">
        <v>39</v>
      </c>
      <c r="C126" s="6" t="s">
        <v>40</v>
      </c>
      <c r="D126" s="17" t="s">
        <v>282</v>
      </c>
      <c r="E126" s="6" t="s">
        <v>283</v>
      </c>
      <c r="F126" s="7">
        <v>1630</v>
      </c>
      <c r="G126" s="7">
        <v>1154</v>
      </c>
      <c r="H126" s="7">
        <v>2961</v>
      </c>
      <c r="I126" s="7">
        <v>56</v>
      </c>
      <c r="J126" s="7">
        <v>0</v>
      </c>
      <c r="K126" s="7">
        <v>0</v>
      </c>
      <c r="L126" s="7">
        <v>69.599999999999994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5870.6</v>
      </c>
      <c r="U126" s="7">
        <v>0</v>
      </c>
      <c r="V126" s="7">
        <v>302.10000000000002</v>
      </c>
      <c r="W126" s="7">
        <v>127.92</v>
      </c>
      <c r="X126" s="7">
        <v>27.84</v>
      </c>
      <c r="Y126" s="7">
        <v>32.07</v>
      </c>
      <c r="Z126" s="7">
        <v>8.15</v>
      </c>
      <c r="AA126" s="7">
        <v>0</v>
      </c>
      <c r="AB126" s="7">
        <v>0</v>
      </c>
      <c r="AC126" s="7">
        <v>0</v>
      </c>
      <c r="AD126" s="7">
        <v>0</v>
      </c>
      <c r="AE126" s="7">
        <v>1204</v>
      </c>
      <c r="AF126" s="7">
        <v>0</v>
      </c>
      <c r="AG126" s="7">
        <v>0</v>
      </c>
      <c r="AH126" s="7">
        <v>1702.08</v>
      </c>
      <c r="AI126" s="7">
        <v>4169.09</v>
      </c>
      <c r="AJ126" s="7">
        <v>0.56999999999999995</v>
      </c>
      <c r="AK126" s="7">
        <v>0.09</v>
      </c>
      <c r="AL126" s="8">
        <v>4169</v>
      </c>
      <c r="AM126" s="14">
        <f>VLOOKUP(D126,[1]财务部报表_有人事号!$A$2:$D$400,3,0)</f>
        <v>4150</v>
      </c>
      <c r="AN126" s="14">
        <f>VLOOKUP(D126,[1]财务部报表_有人事号!$A$2:$E$400,4,0)</f>
        <v>456.76</v>
      </c>
      <c r="AR126" t="str">
        <f>LOOKUP(D126,[2]contacts!$A$2:$A$400,[2]contacts!$G$2:$G$400)</f>
        <v>sdq62@sina.com.cn</v>
      </c>
    </row>
    <row r="127" spans="1:44">
      <c r="A127" s="5" t="s">
        <v>38</v>
      </c>
      <c r="B127" s="6" t="s">
        <v>39</v>
      </c>
      <c r="C127" s="6" t="s">
        <v>40</v>
      </c>
      <c r="D127" s="17" t="s">
        <v>284</v>
      </c>
      <c r="E127" s="6" t="s">
        <v>285</v>
      </c>
      <c r="F127" s="7">
        <v>1180</v>
      </c>
      <c r="G127" s="7">
        <v>944</v>
      </c>
      <c r="H127" s="7">
        <v>2468</v>
      </c>
      <c r="I127" s="7">
        <v>56</v>
      </c>
      <c r="J127" s="7">
        <v>0</v>
      </c>
      <c r="K127" s="7">
        <v>0</v>
      </c>
      <c r="L127" s="7">
        <v>53.1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4701.1000000000004</v>
      </c>
      <c r="U127" s="7">
        <v>0</v>
      </c>
      <c r="V127" s="7">
        <v>0</v>
      </c>
      <c r="W127" s="7">
        <v>183.85</v>
      </c>
      <c r="X127" s="7">
        <v>21.24</v>
      </c>
      <c r="Y127" s="7">
        <v>5.09</v>
      </c>
      <c r="Z127" s="7">
        <v>5.9</v>
      </c>
      <c r="AA127" s="7">
        <v>0</v>
      </c>
      <c r="AB127" s="7">
        <v>0</v>
      </c>
      <c r="AC127" s="7">
        <v>0</v>
      </c>
      <c r="AD127" s="7">
        <v>0</v>
      </c>
      <c r="AE127" s="7">
        <v>957</v>
      </c>
      <c r="AF127" s="7">
        <v>0</v>
      </c>
      <c r="AG127" s="7">
        <v>0</v>
      </c>
      <c r="AH127" s="7">
        <v>1173.08</v>
      </c>
      <c r="AI127" s="7">
        <v>3528.99</v>
      </c>
      <c r="AJ127" s="7">
        <v>0.97</v>
      </c>
      <c r="AK127" s="7">
        <v>0.99</v>
      </c>
      <c r="AL127" s="8">
        <v>3528</v>
      </c>
      <c r="AM127" s="14">
        <f>VLOOKUP(D127,[1]财务部报表_有人事号!$A$2:$D$400,3,0)</f>
        <v>2300</v>
      </c>
      <c r="AN127" s="14">
        <f>VLOOKUP(D127,[1]财务部报表_有人事号!$A$2:$E$400,4,0)</f>
        <v>136.88999999999999</v>
      </c>
      <c r="AR127" t="str">
        <f>LOOKUP(D127,[2]contacts!$A$2:$A$400,[2]contacts!$G$2:$G$400)</f>
        <v>sml1963@126.com</v>
      </c>
    </row>
    <row r="128" spans="1:44">
      <c r="A128" s="5" t="s">
        <v>38</v>
      </c>
      <c r="B128" s="6" t="s">
        <v>39</v>
      </c>
      <c r="C128" s="6" t="s">
        <v>40</v>
      </c>
      <c r="D128" s="17" t="s">
        <v>286</v>
      </c>
      <c r="E128" s="6" t="s">
        <v>287</v>
      </c>
      <c r="F128" s="7">
        <v>1040</v>
      </c>
      <c r="G128" s="7">
        <v>834</v>
      </c>
      <c r="H128" s="7">
        <v>2413</v>
      </c>
      <c r="I128" s="7">
        <v>56</v>
      </c>
      <c r="J128" s="7">
        <v>0</v>
      </c>
      <c r="K128" s="7">
        <v>0</v>
      </c>
      <c r="L128" s="7">
        <v>46.85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4389.8500000000004</v>
      </c>
      <c r="U128" s="7">
        <v>0</v>
      </c>
      <c r="V128" s="7">
        <v>0</v>
      </c>
      <c r="W128" s="7">
        <v>0</v>
      </c>
      <c r="X128" s="7">
        <v>18.739999999999998</v>
      </c>
      <c r="Y128" s="7">
        <v>0</v>
      </c>
      <c r="Z128" s="7">
        <v>5.2</v>
      </c>
      <c r="AA128" s="7">
        <v>0</v>
      </c>
      <c r="AB128" s="7">
        <v>0</v>
      </c>
      <c r="AC128" s="7">
        <v>0</v>
      </c>
      <c r="AD128" s="7">
        <v>0</v>
      </c>
      <c r="AE128" s="7">
        <v>885</v>
      </c>
      <c r="AF128" s="7">
        <v>0</v>
      </c>
      <c r="AG128" s="7">
        <v>0</v>
      </c>
      <c r="AH128" s="7">
        <v>908.94</v>
      </c>
      <c r="AI128" s="7">
        <v>3481.38</v>
      </c>
      <c r="AJ128" s="7">
        <v>0.47</v>
      </c>
      <c r="AK128" s="7">
        <v>0.38</v>
      </c>
      <c r="AL128" s="8">
        <v>3481</v>
      </c>
      <c r="AM128" s="14">
        <f>VLOOKUP(D128,[1]财务部报表_有人事号!$A$2:$D$400,3,0)</f>
        <v>2100</v>
      </c>
      <c r="AN128" s="14">
        <f>VLOOKUP(D128,[1]财务部报表_有人事号!$A$2:$E$400,4,0)</f>
        <v>98.93</v>
      </c>
      <c r="AR128" t="str">
        <f>LOOKUP(D128,[2]contacts!$A$2:$A$400,[2]contacts!$G$2:$G$400)</f>
        <v>970555983@qq.com</v>
      </c>
    </row>
    <row r="129" spans="1:44">
      <c r="A129" s="5" t="s">
        <v>38</v>
      </c>
      <c r="B129" s="6" t="s">
        <v>39</v>
      </c>
      <c r="C129" s="6" t="s">
        <v>40</v>
      </c>
      <c r="D129" s="17" t="s">
        <v>288</v>
      </c>
      <c r="E129" s="6" t="s">
        <v>289</v>
      </c>
      <c r="F129" s="7">
        <v>1900</v>
      </c>
      <c r="G129" s="7">
        <v>944</v>
      </c>
      <c r="H129" s="7">
        <v>3108</v>
      </c>
      <c r="I129" s="7">
        <v>56</v>
      </c>
      <c r="J129" s="7">
        <v>0</v>
      </c>
      <c r="K129" s="7">
        <v>0</v>
      </c>
      <c r="L129" s="7">
        <v>71.099999999999994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6079.1</v>
      </c>
      <c r="U129" s="7">
        <v>0</v>
      </c>
      <c r="V129" s="7">
        <v>0</v>
      </c>
      <c r="W129" s="7">
        <v>0</v>
      </c>
      <c r="X129" s="7">
        <v>28.44</v>
      </c>
      <c r="Y129" s="7">
        <v>37.07</v>
      </c>
      <c r="Z129" s="7">
        <v>9.5</v>
      </c>
      <c r="AA129" s="7">
        <v>0</v>
      </c>
      <c r="AB129" s="7">
        <v>0</v>
      </c>
      <c r="AC129" s="7">
        <v>0</v>
      </c>
      <c r="AD129" s="7">
        <v>0</v>
      </c>
      <c r="AE129" s="7">
        <v>1244</v>
      </c>
      <c r="AF129" s="7">
        <v>0</v>
      </c>
      <c r="AG129" s="7">
        <v>0</v>
      </c>
      <c r="AH129" s="7">
        <v>1319.01</v>
      </c>
      <c r="AI129" s="7">
        <v>4760.16</v>
      </c>
      <c r="AJ129" s="7">
        <v>7.0000000000000007E-2</v>
      </c>
      <c r="AK129" s="7">
        <v>0.16</v>
      </c>
      <c r="AL129" s="8">
        <v>4760</v>
      </c>
      <c r="AM129" s="14">
        <f>VLOOKUP(D129,[1]财务部报表_有人事号!$A$2:$D$400,3,0)</f>
        <v>9900</v>
      </c>
      <c r="AN129" s="14">
        <f>VLOOKUP(D129,[1]财务部报表_有人事号!$A$2:$E$400,4,0)</f>
        <v>1741.8200000000002</v>
      </c>
      <c r="AR129" t="str">
        <f>LOOKUP(D129,[2]contacts!$A$2:$A$400,[2]contacts!$G$2:$G$400)</f>
        <v>wblu@whu.edu.cn</v>
      </c>
    </row>
    <row r="130" spans="1:44">
      <c r="A130" s="5" t="s">
        <v>38</v>
      </c>
      <c r="B130" s="6" t="s">
        <v>39</v>
      </c>
      <c r="C130" s="6" t="s">
        <v>40</v>
      </c>
      <c r="D130" s="17" t="s">
        <v>290</v>
      </c>
      <c r="E130" s="6" t="s">
        <v>291</v>
      </c>
      <c r="F130" s="7">
        <v>930</v>
      </c>
      <c r="G130" s="7">
        <v>499</v>
      </c>
      <c r="H130" s="7">
        <v>2376</v>
      </c>
      <c r="I130" s="7">
        <v>56</v>
      </c>
      <c r="J130" s="7">
        <v>0</v>
      </c>
      <c r="K130" s="7">
        <v>0</v>
      </c>
      <c r="L130" s="7">
        <v>35.729999999999997</v>
      </c>
      <c r="M130" s="7">
        <v>0</v>
      </c>
      <c r="N130" s="7">
        <v>0</v>
      </c>
      <c r="O130" s="7">
        <v>0</v>
      </c>
      <c r="P130" s="7">
        <v>5</v>
      </c>
      <c r="Q130" s="7">
        <v>0</v>
      </c>
      <c r="R130" s="7">
        <v>0</v>
      </c>
      <c r="S130" s="7">
        <v>0</v>
      </c>
      <c r="T130" s="7">
        <v>3901.73</v>
      </c>
      <c r="U130" s="7">
        <v>0</v>
      </c>
      <c r="V130" s="7">
        <v>0</v>
      </c>
      <c r="W130" s="7">
        <v>0</v>
      </c>
      <c r="X130" s="7">
        <v>14.29</v>
      </c>
      <c r="Y130" s="7">
        <v>0</v>
      </c>
      <c r="Z130" s="7">
        <v>4.6500000000000004</v>
      </c>
      <c r="AA130" s="7">
        <v>0</v>
      </c>
      <c r="AB130" s="7">
        <v>0</v>
      </c>
      <c r="AC130" s="7">
        <v>0</v>
      </c>
      <c r="AD130" s="7">
        <v>0</v>
      </c>
      <c r="AE130" s="7">
        <v>768</v>
      </c>
      <c r="AF130" s="7">
        <v>0</v>
      </c>
      <c r="AG130" s="7">
        <v>0</v>
      </c>
      <c r="AH130" s="7">
        <v>786.94</v>
      </c>
      <c r="AI130" s="7">
        <v>3115.34</v>
      </c>
      <c r="AJ130" s="7">
        <v>0.55000000000000004</v>
      </c>
      <c r="AK130" s="7">
        <v>0.34</v>
      </c>
      <c r="AL130" s="8">
        <v>3115</v>
      </c>
      <c r="AM130" s="14">
        <f>VLOOKUP(D130,[1]财务部报表_有人事号!$A$2:$D$400,3,0)</f>
        <v>1950</v>
      </c>
      <c r="AN130" s="14">
        <f>VLOOKUP(D130,[1]财务部报表_有人事号!$A$2:$E$400,4,0)</f>
        <v>47.87</v>
      </c>
      <c r="AR130" t="str">
        <f>LOOKUP(D130,[2]contacts!$A$2:$A$400,[2]contacts!$G$2:$G$400)</f>
        <v>LYLSHOW@WHU.EDU.CN</v>
      </c>
    </row>
    <row r="131" spans="1:44">
      <c r="A131" s="5" t="s">
        <v>38</v>
      </c>
      <c r="B131" s="6" t="s">
        <v>39</v>
      </c>
      <c r="C131" s="6" t="s">
        <v>40</v>
      </c>
      <c r="D131" s="17" t="s">
        <v>292</v>
      </c>
      <c r="E131" s="6" t="s">
        <v>293</v>
      </c>
      <c r="F131" s="7">
        <v>720</v>
      </c>
      <c r="G131" s="7">
        <v>499</v>
      </c>
      <c r="H131" s="7">
        <v>2139</v>
      </c>
      <c r="I131" s="7">
        <v>56</v>
      </c>
      <c r="J131" s="7">
        <v>20</v>
      </c>
      <c r="K131" s="7">
        <v>0</v>
      </c>
      <c r="L131" s="7">
        <v>33.729999999999997</v>
      </c>
      <c r="M131" s="7">
        <v>0</v>
      </c>
      <c r="N131" s="7">
        <v>0</v>
      </c>
      <c r="O131" s="7">
        <v>130</v>
      </c>
      <c r="P131" s="7">
        <v>5</v>
      </c>
      <c r="Q131" s="7">
        <v>0</v>
      </c>
      <c r="R131" s="7">
        <v>0</v>
      </c>
      <c r="S131" s="7">
        <v>0</v>
      </c>
      <c r="T131" s="7">
        <v>3602.73</v>
      </c>
      <c r="U131" s="7">
        <v>0</v>
      </c>
      <c r="V131" s="7">
        <v>1041.2</v>
      </c>
      <c r="W131" s="7">
        <v>278.45999999999998</v>
      </c>
      <c r="X131" s="7">
        <v>12.19</v>
      </c>
      <c r="Y131" s="7">
        <v>0</v>
      </c>
      <c r="Z131" s="7">
        <v>3.6</v>
      </c>
      <c r="AA131" s="7">
        <v>0</v>
      </c>
      <c r="AB131" s="7">
        <v>0</v>
      </c>
      <c r="AC131" s="7">
        <v>0</v>
      </c>
      <c r="AD131" s="7">
        <v>0</v>
      </c>
      <c r="AE131" s="7">
        <v>708</v>
      </c>
      <c r="AF131" s="7">
        <v>0</v>
      </c>
      <c r="AG131" s="7">
        <v>0</v>
      </c>
      <c r="AH131" s="7">
        <v>2043.45</v>
      </c>
      <c r="AI131" s="7">
        <v>1559.79</v>
      </c>
      <c r="AJ131" s="7">
        <v>0.51</v>
      </c>
      <c r="AK131" s="7">
        <v>0.79</v>
      </c>
      <c r="AL131" s="8">
        <v>1559</v>
      </c>
      <c r="AM131" s="14">
        <f>VLOOKUP(D131,[1]财务部报表_有人事号!$A$2:$D$400,3,0)</f>
        <v>4930</v>
      </c>
      <c r="AN131" s="14">
        <f>VLOOKUP(D131,[1]财务部报表_有人事号!$A$2:$E$400,4,0)</f>
        <v>322.38</v>
      </c>
      <c r="AR131" t="str">
        <f>LOOKUP(D131,[2]contacts!$A$2:$A$400,[2]contacts!$G$2:$G$400)</f>
        <v>km20006@163.com</v>
      </c>
    </row>
    <row r="132" spans="1:44">
      <c r="A132" s="5" t="s">
        <v>38</v>
      </c>
      <c r="B132" s="6" t="s">
        <v>39</v>
      </c>
      <c r="C132" s="6" t="s">
        <v>40</v>
      </c>
      <c r="D132" s="17" t="s">
        <v>294</v>
      </c>
      <c r="E132" s="6" t="s">
        <v>295</v>
      </c>
      <c r="F132" s="7">
        <v>1630</v>
      </c>
      <c r="G132" s="7">
        <v>1109</v>
      </c>
      <c r="H132" s="7">
        <v>2961</v>
      </c>
      <c r="I132" s="7">
        <v>56</v>
      </c>
      <c r="J132" s="7">
        <v>0</v>
      </c>
      <c r="K132" s="7">
        <v>0</v>
      </c>
      <c r="L132" s="7">
        <v>68.48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5824.48</v>
      </c>
      <c r="U132" s="7">
        <v>0</v>
      </c>
      <c r="V132" s="7">
        <v>323</v>
      </c>
      <c r="W132" s="7">
        <v>188.02</v>
      </c>
      <c r="X132" s="7">
        <v>27.39</v>
      </c>
      <c r="Y132" s="7">
        <v>31.07</v>
      </c>
      <c r="Z132" s="7">
        <v>8.15</v>
      </c>
      <c r="AA132" s="7">
        <v>0</v>
      </c>
      <c r="AB132" s="7">
        <v>0</v>
      </c>
      <c r="AC132" s="7">
        <v>0</v>
      </c>
      <c r="AD132" s="7">
        <v>0</v>
      </c>
      <c r="AE132" s="7">
        <v>1193</v>
      </c>
      <c r="AF132" s="7">
        <v>0</v>
      </c>
      <c r="AG132" s="7">
        <v>0</v>
      </c>
      <c r="AH132" s="7">
        <v>1770.63</v>
      </c>
      <c r="AI132" s="7">
        <v>4054.09</v>
      </c>
      <c r="AJ132" s="7">
        <v>0.24</v>
      </c>
      <c r="AK132" s="7">
        <v>0.09</v>
      </c>
      <c r="AL132" s="8">
        <v>4054</v>
      </c>
      <c r="AM132" s="14">
        <f>VLOOKUP(D132,[1]财务部报表_有人事号!$A$2:$D$400,3,0)</f>
        <v>4150</v>
      </c>
      <c r="AN132" s="14">
        <f>VLOOKUP(D132,[1]财务部报表_有人事号!$A$2:$E$400,4,0)</f>
        <v>451.05</v>
      </c>
      <c r="AR132" t="str">
        <f>LOOKUP(D132,[2]contacts!$A$2:$A$400,[2]contacts!$G$2:$G$400)</f>
        <v>zhigenhu@163.com</v>
      </c>
    </row>
    <row r="133" spans="1:44">
      <c r="A133" s="5" t="s">
        <v>38</v>
      </c>
      <c r="B133" s="6" t="s">
        <v>39</v>
      </c>
      <c r="C133" s="6" t="s">
        <v>40</v>
      </c>
      <c r="D133" s="17" t="s">
        <v>296</v>
      </c>
      <c r="E133" s="6" t="s">
        <v>297</v>
      </c>
      <c r="F133" s="7">
        <v>780</v>
      </c>
      <c r="G133" s="7">
        <v>799</v>
      </c>
      <c r="H133" s="7">
        <v>2139</v>
      </c>
      <c r="I133" s="7">
        <v>56</v>
      </c>
      <c r="J133" s="7">
        <v>0</v>
      </c>
      <c r="K133" s="7">
        <v>0</v>
      </c>
      <c r="L133" s="7">
        <v>39.479999999999997</v>
      </c>
      <c r="M133" s="7">
        <v>0</v>
      </c>
      <c r="N133" s="7">
        <v>0</v>
      </c>
      <c r="O133" s="7">
        <v>0</v>
      </c>
      <c r="P133" s="7">
        <v>5</v>
      </c>
      <c r="Q133" s="7">
        <v>0</v>
      </c>
      <c r="R133" s="7">
        <v>0</v>
      </c>
      <c r="S133" s="7">
        <v>0</v>
      </c>
      <c r="T133" s="7">
        <v>3818.48</v>
      </c>
      <c r="U133" s="7">
        <v>0</v>
      </c>
      <c r="V133" s="7">
        <v>43.7</v>
      </c>
      <c r="W133" s="7">
        <v>42.24</v>
      </c>
      <c r="X133" s="7">
        <v>15.79</v>
      </c>
      <c r="Y133" s="7">
        <v>0</v>
      </c>
      <c r="Z133" s="7">
        <v>3.9</v>
      </c>
      <c r="AA133" s="7">
        <v>0</v>
      </c>
      <c r="AB133" s="7">
        <v>0</v>
      </c>
      <c r="AC133" s="7">
        <v>0</v>
      </c>
      <c r="AD133" s="7">
        <v>0</v>
      </c>
      <c r="AE133" s="7">
        <v>766</v>
      </c>
      <c r="AF133" s="7">
        <v>0</v>
      </c>
      <c r="AG133" s="7">
        <v>0</v>
      </c>
      <c r="AH133" s="7">
        <v>871.63</v>
      </c>
      <c r="AI133" s="7">
        <v>2946.99</v>
      </c>
      <c r="AJ133" s="7">
        <v>0.14000000000000001</v>
      </c>
      <c r="AK133" s="7">
        <v>0.99</v>
      </c>
      <c r="AL133" s="8">
        <v>2946</v>
      </c>
      <c r="AM133" s="14">
        <f>VLOOKUP(D133,[1]财务部报表_有人事号!$A$2:$D$400,3,0)</f>
        <v>1580</v>
      </c>
      <c r="AN133" s="14">
        <f>VLOOKUP(D133,[1]财务部报表_有人事号!$A$2:$E$400,4,0)</f>
        <v>32.17</v>
      </c>
      <c r="AR133" t="str">
        <f>LOOKUP(D133,[2]contacts!$A$2:$A$400,[2]contacts!$G$2:$G$400)</f>
        <v>2401052423@qq.com</v>
      </c>
    </row>
    <row r="134" spans="1:44">
      <c r="A134" s="5" t="s">
        <v>38</v>
      </c>
      <c r="B134" s="6" t="s">
        <v>39</v>
      </c>
      <c r="C134" s="6" t="s">
        <v>40</v>
      </c>
      <c r="D134" s="17" t="s">
        <v>298</v>
      </c>
      <c r="E134" s="6" t="s">
        <v>299</v>
      </c>
      <c r="F134" s="7">
        <v>780</v>
      </c>
      <c r="G134" s="7">
        <v>643</v>
      </c>
      <c r="H134" s="7">
        <v>2139</v>
      </c>
      <c r="I134" s="7">
        <v>56</v>
      </c>
      <c r="J134" s="7">
        <v>0</v>
      </c>
      <c r="K134" s="7">
        <v>0</v>
      </c>
      <c r="L134" s="7">
        <v>35.58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3653.58</v>
      </c>
      <c r="U134" s="7">
        <v>0</v>
      </c>
      <c r="V134" s="7">
        <v>0</v>
      </c>
      <c r="W134" s="7">
        <v>0</v>
      </c>
      <c r="X134" s="7">
        <v>14.23</v>
      </c>
      <c r="Y134" s="7">
        <v>0</v>
      </c>
      <c r="Z134" s="7">
        <v>3.9</v>
      </c>
      <c r="AA134" s="7">
        <v>0</v>
      </c>
      <c r="AB134" s="7">
        <v>0</v>
      </c>
      <c r="AC134" s="7">
        <v>0</v>
      </c>
      <c r="AD134" s="7">
        <v>0</v>
      </c>
      <c r="AE134" s="7">
        <v>727</v>
      </c>
      <c r="AF134" s="7">
        <v>0</v>
      </c>
      <c r="AG134" s="7">
        <v>0</v>
      </c>
      <c r="AH134" s="7">
        <v>745.13</v>
      </c>
      <c r="AI134" s="7">
        <v>2909.01</v>
      </c>
      <c r="AJ134" s="7">
        <v>0.56000000000000005</v>
      </c>
      <c r="AK134" s="7">
        <v>0.01</v>
      </c>
      <c r="AL134" s="8">
        <v>2909</v>
      </c>
      <c r="AM134" s="14">
        <f>VLOOKUP(D134,[1]财务部报表_有人事号!$A$2:$D$400,3,0)</f>
        <v>1580</v>
      </c>
      <c r="AN134" s="14">
        <f>VLOOKUP(D134,[1]财务部报表_有人事号!$A$2:$E$400,4,0)</f>
        <v>28.7</v>
      </c>
      <c r="AR134" t="str">
        <f>LOOKUP(D134,[2]contacts!$A$2:$A$400,[2]contacts!$G$2:$G$400)</f>
        <v>wangxw@whu.edu.cn</v>
      </c>
    </row>
    <row r="135" spans="1:44">
      <c r="A135" s="5" t="s">
        <v>38</v>
      </c>
      <c r="B135" s="6" t="s">
        <v>39</v>
      </c>
      <c r="C135" s="6" t="s">
        <v>40</v>
      </c>
      <c r="D135" s="17" t="s">
        <v>300</v>
      </c>
      <c r="E135" s="6" t="s">
        <v>301</v>
      </c>
      <c r="F135" s="7">
        <v>1040</v>
      </c>
      <c r="G135" s="7">
        <v>643</v>
      </c>
      <c r="H135" s="7">
        <v>2413</v>
      </c>
      <c r="I135" s="7">
        <v>56</v>
      </c>
      <c r="J135" s="7">
        <v>0</v>
      </c>
      <c r="K135" s="7">
        <v>0</v>
      </c>
      <c r="L135" s="7">
        <v>42.08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4194.08</v>
      </c>
      <c r="U135" s="7">
        <v>0</v>
      </c>
      <c r="V135" s="7">
        <v>0</v>
      </c>
      <c r="W135" s="7">
        <v>0</v>
      </c>
      <c r="X135" s="7">
        <v>16.829999999999998</v>
      </c>
      <c r="Y135" s="7">
        <v>0</v>
      </c>
      <c r="Z135" s="7">
        <v>5.2</v>
      </c>
      <c r="AA135" s="7">
        <v>0</v>
      </c>
      <c r="AB135" s="7">
        <v>0</v>
      </c>
      <c r="AC135" s="7">
        <v>0</v>
      </c>
      <c r="AD135" s="7">
        <v>0</v>
      </c>
      <c r="AE135" s="7">
        <v>837</v>
      </c>
      <c r="AF135" s="7">
        <v>0</v>
      </c>
      <c r="AG135" s="7">
        <v>0</v>
      </c>
      <c r="AH135" s="7">
        <v>859.03</v>
      </c>
      <c r="AI135" s="7">
        <v>3335.9</v>
      </c>
      <c r="AJ135" s="7">
        <v>0.85</v>
      </c>
      <c r="AK135" s="7">
        <v>0.9</v>
      </c>
      <c r="AL135" s="8">
        <v>3335</v>
      </c>
      <c r="AM135" s="14">
        <f>VLOOKUP(D135,[1]财务部报表_有人事号!$A$2:$D$400,3,0)</f>
        <v>2100</v>
      </c>
      <c r="AN135" s="14">
        <f>VLOOKUP(D135,[1]财务部报表_有人事号!$A$2:$E$400,4,0)</f>
        <v>84.82</v>
      </c>
      <c r="AR135" t="str">
        <f>LOOKUP(D135,[2]contacts!$A$2:$A$400,[2]contacts!$G$2:$G$400)</f>
        <v>huanghansheng@163.com</v>
      </c>
    </row>
    <row r="136" spans="1:44">
      <c r="A136" s="5" t="s">
        <v>38</v>
      </c>
      <c r="B136" s="6" t="s">
        <v>39</v>
      </c>
      <c r="C136" s="6" t="s">
        <v>40</v>
      </c>
      <c r="D136" s="17" t="s">
        <v>302</v>
      </c>
      <c r="E136" s="6" t="s">
        <v>303</v>
      </c>
      <c r="F136" s="7">
        <v>730</v>
      </c>
      <c r="G136" s="7">
        <v>613</v>
      </c>
      <c r="H136" s="7">
        <v>2102</v>
      </c>
      <c r="I136" s="7">
        <v>56</v>
      </c>
      <c r="J136" s="7">
        <v>20</v>
      </c>
      <c r="K136" s="7">
        <v>0</v>
      </c>
      <c r="L136" s="7">
        <v>33.58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3554.58</v>
      </c>
      <c r="U136" s="7">
        <v>0</v>
      </c>
      <c r="V136" s="7">
        <v>72.2</v>
      </c>
      <c r="W136" s="7">
        <v>917.49</v>
      </c>
      <c r="X136" s="7">
        <v>13.43</v>
      </c>
      <c r="Y136" s="7">
        <v>0</v>
      </c>
      <c r="Z136" s="7">
        <v>3.65</v>
      </c>
      <c r="AA136" s="7">
        <v>0</v>
      </c>
      <c r="AB136" s="7">
        <v>0</v>
      </c>
      <c r="AC136" s="7">
        <v>0</v>
      </c>
      <c r="AD136" s="7">
        <v>0</v>
      </c>
      <c r="AE136" s="7">
        <v>701</v>
      </c>
      <c r="AF136" s="7">
        <v>0</v>
      </c>
      <c r="AG136" s="7">
        <v>0</v>
      </c>
      <c r="AH136" s="7">
        <v>1707.77</v>
      </c>
      <c r="AI136" s="7">
        <v>1847.71</v>
      </c>
      <c r="AJ136" s="7">
        <v>0.9</v>
      </c>
      <c r="AK136" s="7">
        <v>0.71</v>
      </c>
      <c r="AL136" s="8">
        <v>1847</v>
      </c>
      <c r="AM136" s="14">
        <f>VLOOKUP(D136,[1]财务部报表_有人事号!$A$2:$D$400,3,0)</f>
        <v>1430</v>
      </c>
      <c r="AN136" s="14">
        <f>VLOOKUP(D136,[1]财务部报表_有人事号!$A$2:$E$400,4,0)</f>
        <v>22.1</v>
      </c>
      <c r="AR136" t="str">
        <f>LOOKUP(D136,[2]contacts!$A$2:$A$400,[2]contacts!$G$2:$G$400)</f>
        <v>A1234567_2003@eyou.com</v>
      </c>
    </row>
    <row r="137" spans="1:44">
      <c r="A137" s="5" t="s">
        <v>38</v>
      </c>
      <c r="B137" s="6" t="s">
        <v>39</v>
      </c>
      <c r="C137" s="6" t="s">
        <v>40</v>
      </c>
      <c r="D137" s="17" t="s">
        <v>304</v>
      </c>
      <c r="E137" s="6" t="s">
        <v>305</v>
      </c>
      <c r="F137" s="7">
        <v>730</v>
      </c>
      <c r="G137" s="7">
        <v>673</v>
      </c>
      <c r="H137" s="7">
        <v>2102</v>
      </c>
      <c r="I137" s="7">
        <v>56</v>
      </c>
      <c r="J137" s="7">
        <v>20</v>
      </c>
      <c r="K137" s="7">
        <v>0</v>
      </c>
      <c r="L137" s="7">
        <v>35.08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3616.08</v>
      </c>
      <c r="U137" s="7">
        <v>0</v>
      </c>
      <c r="V137" s="7">
        <v>0</v>
      </c>
      <c r="W137" s="7">
        <v>65.45</v>
      </c>
      <c r="X137" s="7">
        <v>14.03</v>
      </c>
      <c r="Y137" s="7">
        <v>0</v>
      </c>
      <c r="Z137" s="7">
        <v>3.65</v>
      </c>
      <c r="AA137" s="7">
        <v>0</v>
      </c>
      <c r="AB137" s="7">
        <v>0</v>
      </c>
      <c r="AC137" s="7">
        <v>0</v>
      </c>
      <c r="AD137" s="7">
        <v>0</v>
      </c>
      <c r="AE137" s="7">
        <v>716</v>
      </c>
      <c r="AF137" s="7">
        <v>0</v>
      </c>
      <c r="AG137" s="7">
        <v>0</v>
      </c>
      <c r="AH137" s="7">
        <v>799.13</v>
      </c>
      <c r="AI137" s="7">
        <v>2817.4</v>
      </c>
      <c r="AJ137" s="7">
        <v>0.45</v>
      </c>
      <c r="AK137" s="7">
        <v>0.4</v>
      </c>
      <c r="AL137" s="8">
        <v>2817</v>
      </c>
      <c r="AM137" s="14">
        <f>VLOOKUP(D137,[1]财务部报表_有人事号!$A$2:$D$400,3,0)</f>
        <v>1930</v>
      </c>
      <c r="AN137" s="14">
        <f>VLOOKUP(D137,[1]财务部报表_有人事号!$A$2:$E$400,4,0)</f>
        <v>38.43</v>
      </c>
      <c r="AR137" t="str">
        <f>LOOKUP(D137,[2]contacts!$A$2:$A$400,[2]contacts!$G$2:$G$400)</f>
        <v>jiaj2008@163.com</v>
      </c>
    </row>
    <row r="138" spans="1:44">
      <c r="A138" s="5" t="s">
        <v>38</v>
      </c>
      <c r="B138" s="6" t="s">
        <v>39</v>
      </c>
      <c r="C138" s="6" t="s">
        <v>40</v>
      </c>
      <c r="D138" s="17" t="s">
        <v>306</v>
      </c>
      <c r="E138" s="6" t="s">
        <v>307</v>
      </c>
      <c r="F138" s="7">
        <v>850</v>
      </c>
      <c r="G138" s="7">
        <v>799</v>
      </c>
      <c r="H138" s="7">
        <v>2413</v>
      </c>
      <c r="I138" s="7">
        <v>56</v>
      </c>
      <c r="J138" s="7">
        <v>0</v>
      </c>
      <c r="K138" s="7">
        <v>0</v>
      </c>
      <c r="L138" s="7">
        <v>42.73</v>
      </c>
      <c r="M138" s="7">
        <v>0</v>
      </c>
      <c r="N138" s="7">
        <v>0</v>
      </c>
      <c r="O138" s="7">
        <v>60</v>
      </c>
      <c r="P138" s="7">
        <v>0</v>
      </c>
      <c r="Q138" s="7">
        <v>0</v>
      </c>
      <c r="R138" s="7">
        <v>0</v>
      </c>
      <c r="S138" s="7">
        <v>0</v>
      </c>
      <c r="T138" s="7">
        <v>4220.7299999999996</v>
      </c>
      <c r="U138" s="7">
        <v>0</v>
      </c>
      <c r="V138" s="7">
        <v>0</v>
      </c>
      <c r="W138" s="7">
        <v>233.83</v>
      </c>
      <c r="X138" s="7">
        <v>16.489999999999998</v>
      </c>
      <c r="Y138" s="7">
        <v>0</v>
      </c>
      <c r="Z138" s="7">
        <v>4.25</v>
      </c>
      <c r="AA138" s="7">
        <v>0</v>
      </c>
      <c r="AB138" s="7">
        <v>0</v>
      </c>
      <c r="AC138" s="7">
        <v>0</v>
      </c>
      <c r="AD138" s="7">
        <v>0</v>
      </c>
      <c r="AE138" s="7">
        <v>844</v>
      </c>
      <c r="AF138" s="7">
        <v>0</v>
      </c>
      <c r="AG138" s="7">
        <v>0</v>
      </c>
      <c r="AH138" s="7">
        <v>1098.57</v>
      </c>
      <c r="AI138" s="7">
        <v>3122.78</v>
      </c>
      <c r="AJ138" s="7">
        <v>0.62</v>
      </c>
      <c r="AK138" s="7">
        <v>0.78</v>
      </c>
      <c r="AL138" s="8">
        <v>3122</v>
      </c>
      <c r="AM138" s="14">
        <f>VLOOKUP(D138,[1]财务部报表_有人事号!$A$2:$D$400,3,0)</f>
        <v>3000</v>
      </c>
      <c r="AN138" s="14">
        <f>VLOOKUP(D138,[1]财务部报表_有人事号!$A$2:$E$400,4,0)</f>
        <v>176.75</v>
      </c>
      <c r="AR138" t="str">
        <f>LOOKUP(D138,[2]contacts!$A$2:$A$400,[2]contacts!$G$2:$G$400)</f>
        <v>zhhuang@whu.edu.cn</v>
      </c>
    </row>
    <row r="139" spans="1:44">
      <c r="A139" s="5" t="s">
        <v>38</v>
      </c>
      <c r="B139" s="6" t="s">
        <v>39</v>
      </c>
      <c r="C139" s="6" t="s">
        <v>40</v>
      </c>
      <c r="D139" s="17" t="s">
        <v>308</v>
      </c>
      <c r="E139" s="6" t="s">
        <v>309</v>
      </c>
      <c r="F139" s="7">
        <v>930</v>
      </c>
      <c r="G139" s="7">
        <v>499</v>
      </c>
      <c r="H139" s="7">
        <v>2376</v>
      </c>
      <c r="I139" s="7">
        <v>56</v>
      </c>
      <c r="J139" s="7">
        <v>20</v>
      </c>
      <c r="K139" s="7">
        <v>0</v>
      </c>
      <c r="L139" s="7">
        <v>35.729999999999997</v>
      </c>
      <c r="M139" s="7">
        <v>0</v>
      </c>
      <c r="N139" s="7">
        <v>0</v>
      </c>
      <c r="O139" s="7">
        <v>0</v>
      </c>
      <c r="P139" s="7">
        <v>5</v>
      </c>
      <c r="Q139" s="7">
        <v>0</v>
      </c>
      <c r="R139" s="7">
        <v>0</v>
      </c>
      <c r="S139" s="7">
        <v>0</v>
      </c>
      <c r="T139" s="7">
        <v>3921.73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3921.73</v>
      </c>
      <c r="AD139" s="7">
        <v>0</v>
      </c>
      <c r="AE139" s="7">
        <v>0</v>
      </c>
      <c r="AF139" s="7">
        <v>0</v>
      </c>
      <c r="AG139" s="7">
        <v>0</v>
      </c>
      <c r="AH139" s="7">
        <v>3921.73</v>
      </c>
      <c r="AI139" s="7">
        <v>0.13</v>
      </c>
      <c r="AJ139" s="7">
        <v>0.13</v>
      </c>
      <c r="AK139" s="7">
        <v>0.13</v>
      </c>
      <c r="AL139" s="8">
        <v>0</v>
      </c>
      <c r="AM139" s="14">
        <f>VLOOKUP(D139,[1]财务部报表_有人事号!$A$2:$D$400,3,0)</f>
        <v>1950</v>
      </c>
      <c r="AN139" s="14">
        <f>VLOOKUP(D139,[1]财务部报表_有人事号!$A$2:$E$400,4,0)</f>
        <v>0</v>
      </c>
      <c r="AR139" t="str">
        <f>LOOKUP(D139,[2]contacts!$A$2:$A$400,[2]contacts!$G$2:$G$400)</f>
        <v>hsh5527@126.com</v>
      </c>
    </row>
    <row r="140" spans="1:44">
      <c r="A140" s="5" t="s">
        <v>38</v>
      </c>
      <c r="B140" s="6" t="s">
        <v>39</v>
      </c>
      <c r="C140" s="6" t="s">
        <v>40</v>
      </c>
      <c r="D140" s="17" t="s">
        <v>310</v>
      </c>
      <c r="E140" s="6" t="s">
        <v>311</v>
      </c>
      <c r="F140" s="7">
        <v>1040</v>
      </c>
      <c r="G140" s="7">
        <v>613</v>
      </c>
      <c r="H140" s="7">
        <v>2413</v>
      </c>
      <c r="I140" s="7">
        <v>56</v>
      </c>
      <c r="J140" s="7">
        <v>0</v>
      </c>
      <c r="K140" s="7">
        <v>0</v>
      </c>
      <c r="L140" s="7">
        <v>41.33</v>
      </c>
      <c r="M140" s="7">
        <v>0</v>
      </c>
      <c r="N140" s="7">
        <v>0</v>
      </c>
      <c r="O140" s="7">
        <v>0</v>
      </c>
      <c r="P140" s="7">
        <v>5</v>
      </c>
      <c r="Q140" s="7">
        <v>0</v>
      </c>
      <c r="R140" s="7">
        <v>0</v>
      </c>
      <c r="S140" s="7">
        <v>0</v>
      </c>
      <c r="T140" s="7">
        <v>4168.33</v>
      </c>
      <c r="U140" s="7">
        <v>0</v>
      </c>
      <c r="V140" s="7">
        <v>0</v>
      </c>
      <c r="W140" s="7">
        <v>0</v>
      </c>
      <c r="X140" s="7">
        <v>16.53</v>
      </c>
      <c r="Y140" s="7">
        <v>0</v>
      </c>
      <c r="Z140" s="7">
        <v>5.2</v>
      </c>
      <c r="AA140" s="7">
        <v>0</v>
      </c>
      <c r="AB140" s="7">
        <v>0</v>
      </c>
      <c r="AC140" s="7">
        <v>0</v>
      </c>
      <c r="AD140" s="7">
        <v>0</v>
      </c>
      <c r="AE140" s="7">
        <v>830</v>
      </c>
      <c r="AF140" s="7">
        <v>0</v>
      </c>
      <c r="AG140" s="7">
        <v>0</v>
      </c>
      <c r="AH140" s="7">
        <v>851.73</v>
      </c>
      <c r="AI140" s="7">
        <v>3316.74</v>
      </c>
      <c r="AJ140" s="7">
        <v>0.14000000000000001</v>
      </c>
      <c r="AK140" s="7">
        <v>0.74</v>
      </c>
      <c r="AL140" s="8">
        <v>3316</v>
      </c>
      <c r="AM140" s="14">
        <f>VLOOKUP(D140,[1]财务部报表_有人事号!$A$2:$D$400,3,0)</f>
        <v>2100</v>
      </c>
      <c r="AN140" s="14">
        <f>VLOOKUP(D140,[1]财务部报表_有人事号!$A$2:$E$400,4,0)</f>
        <v>82.55</v>
      </c>
      <c r="AR140" t="str">
        <f>LOOKUP(D140,[2]contacts!$A$2:$A$400,[2]contacts!$G$2:$G$400)</f>
        <v>qluo@whu.edu.cn</v>
      </c>
    </row>
    <row r="141" spans="1:44">
      <c r="A141" s="5" t="s">
        <v>38</v>
      </c>
      <c r="B141" s="6" t="s">
        <v>39</v>
      </c>
      <c r="C141" s="6" t="s">
        <v>40</v>
      </c>
      <c r="D141" s="17" t="s">
        <v>312</v>
      </c>
      <c r="E141" s="6" t="s">
        <v>313</v>
      </c>
      <c r="F141" s="7">
        <v>1420</v>
      </c>
      <c r="G141" s="7">
        <v>703</v>
      </c>
      <c r="H141" s="7">
        <v>2779</v>
      </c>
      <c r="I141" s="7">
        <v>56</v>
      </c>
      <c r="J141" s="7">
        <v>0</v>
      </c>
      <c r="K141" s="7">
        <v>0</v>
      </c>
      <c r="L141" s="7">
        <v>53.08</v>
      </c>
      <c r="M141" s="7">
        <v>0</v>
      </c>
      <c r="N141" s="7">
        <v>0</v>
      </c>
      <c r="O141" s="7">
        <v>0</v>
      </c>
      <c r="P141" s="7">
        <v>5</v>
      </c>
      <c r="Q141" s="7">
        <v>0</v>
      </c>
      <c r="R141" s="7">
        <v>0</v>
      </c>
      <c r="S141" s="7">
        <v>0</v>
      </c>
      <c r="T141" s="7">
        <v>5016.08</v>
      </c>
      <c r="U141" s="7">
        <v>0</v>
      </c>
      <c r="V141" s="7">
        <v>0</v>
      </c>
      <c r="W141" s="7">
        <v>0</v>
      </c>
      <c r="X141" s="7">
        <v>21.23</v>
      </c>
      <c r="Y141" s="7">
        <v>13.04</v>
      </c>
      <c r="Z141" s="7">
        <v>7.1</v>
      </c>
      <c r="AA141" s="7">
        <v>0</v>
      </c>
      <c r="AB141" s="7">
        <v>0</v>
      </c>
      <c r="AC141" s="7">
        <v>0</v>
      </c>
      <c r="AD141" s="7">
        <v>0</v>
      </c>
      <c r="AE141" s="7">
        <v>1002</v>
      </c>
      <c r="AF141" s="7">
        <v>0</v>
      </c>
      <c r="AG141" s="7">
        <v>0</v>
      </c>
      <c r="AH141" s="7">
        <v>1043.3699999999999</v>
      </c>
      <c r="AI141" s="7">
        <v>3972.94</v>
      </c>
      <c r="AJ141" s="7">
        <v>0.23</v>
      </c>
      <c r="AK141" s="7">
        <v>0.94</v>
      </c>
      <c r="AL141" s="8">
        <v>3972</v>
      </c>
      <c r="AM141" s="14">
        <f>VLOOKUP(D141,[1]财务部报表_有人事号!$A$2:$D$400,3,0)</f>
        <v>3350</v>
      </c>
      <c r="AN141" s="14">
        <f>VLOOKUP(D141,[1]财务部报表_有人事号!$A$2:$E$400,4,0)</f>
        <v>260.44</v>
      </c>
      <c r="AR141" t="str">
        <f>LOOKUP(D141,[2]contacts!$A$2:$A$400,[2]contacts!$G$2:$G$400)</f>
        <v>dongbin@whu.edu.cn</v>
      </c>
    </row>
    <row r="142" spans="1:44">
      <c r="A142" s="5" t="s">
        <v>38</v>
      </c>
      <c r="B142" s="6" t="s">
        <v>39</v>
      </c>
      <c r="C142" s="6" t="s">
        <v>40</v>
      </c>
      <c r="D142" s="17" t="s">
        <v>314</v>
      </c>
      <c r="E142" s="6" t="s">
        <v>315</v>
      </c>
      <c r="F142" s="7">
        <v>1630</v>
      </c>
      <c r="G142" s="7">
        <v>1109</v>
      </c>
      <c r="H142" s="7">
        <v>2961</v>
      </c>
      <c r="I142" s="7">
        <v>56</v>
      </c>
      <c r="J142" s="7">
        <v>0</v>
      </c>
      <c r="K142" s="7">
        <v>0</v>
      </c>
      <c r="L142" s="7">
        <v>68.48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5824.48</v>
      </c>
      <c r="U142" s="7">
        <v>0</v>
      </c>
      <c r="V142" s="7">
        <v>0</v>
      </c>
      <c r="W142" s="7">
        <v>46.41</v>
      </c>
      <c r="X142" s="7">
        <v>27.39</v>
      </c>
      <c r="Y142" s="7">
        <v>31.07</v>
      </c>
      <c r="Z142" s="7">
        <v>8.15</v>
      </c>
      <c r="AA142" s="7">
        <v>0</v>
      </c>
      <c r="AB142" s="7">
        <v>0</v>
      </c>
      <c r="AC142" s="7">
        <v>0</v>
      </c>
      <c r="AD142" s="7">
        <v>0</v>
      </c>
      <c r="AE142" s="7">
        <v>1193</v>
      </c>
      <c r="AF142" s="7">
        <v>0</v>
      </c>
      <c r="AG142" s="7">
        <v>0</v>
      </c>
      <c r="AH142" s="7">
        <v>1306.02</v>
      </c>
      <c r="AI142" s="7">
        <v>4519.04</v>
      </c>
      <c r="AJ142" s="7">
        <v>0.57999999999999996</v>
      </c>
      <c r="AK142" s="7">
        <v>0.04</v>
      </c>
      <c r="AL142" s="8">
        <v>4519</v>
      </c>
      <c r="AM142" s="14">
        <f>VLOOKUP(D142,[1]财务部报表_有人事号!$A$2:$D$400,3,0)</f>
        <v>4150</v>
      </c>
      <c r="AN142" s="14">
        <f>VLOOKUP(D142,[1]财务部报表_有人事号!$A$2:$E$400,4,0)</f>
        <v>451.05</v>
      </c>
      <c r="AR142" t="str">
        <f>LOOKUP(D142,[2]contacts!$A$2:$A$400,[2]contacts!$G$2:$G$400)</f>
        <v>tshu@whu.edu.cn</v>
      </c>
    </row>
    <row r="143" spans="1:44">
      <c r="A143" s="5" t="s">
        <v>38</v>
      </c>
      <c r="B143" s="6" t="s">
        <v>39</v>
      </c>
      <c r="C143" s="6" t="s">
        <v>40</v>
      </c>
      <c r="D143" s="17" t="s">
        <v>316</v>
      </c>
      <c r="E143" s="6" t="s">
        <v>317</v>
      </c>
      <c r="F143" s="7">
        <v>1630</v>
      </c>
      <c r="G143" s="7">
        <v>1154</v>
      </c>
      <c r="H143" s="7">
        <v>2961</v>
      </c>
      <c r="I143" s="7">
        <v>56</v>
      </c>
      <c r="J143" s="7">
        <v>0</v>
      </c>
      <c r="K143" s="7">
        <v>0</v>
      </c>
      <c r="L143" s="7">
        <v>69.599999999999994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5870.6</v>
      </c>
      <c r="U143" s="7">
        <v>0</v>
      </c>
      <c r="V143" s="7">
        <v>1064</v>
      </c>
      <c r="W143" s="7">
        <v>98.17</v>
      </c>
      <c r="X143" s="7">
        <v>27.84</v>
      </c>
      <c r="Y143" s="7">
        <v>32.07</v>
      </c>
      <c r="Z143" s="7">
        <v>8.15</v>
      </c>
      <c r="AA143" s="7">
        <v>0</v>
      </c>
      <c r="AB143" s="7">
        <v>0</v>
      </c>
      <c r="AC143" s="7">
        <v>0</v>
      </c>
      <c r="AD143" s="7">
        <v>0</v>
      </c>
      <c r="AE143" s="7">
        <v>1204</v>
      </c>
      <c r="AF143" s="7">
        <v>0</v>
      </c>
      <c r="AG143" s="7">
        <v>0</v>
      </c>
      <c r="AH143" s="7">
        <v>2434.23</v>
      </c>
      <c r="AI143" s="7">
        <v>3436.68</v>
      </c>
      <c r="AJ143" s="7">
        <v>0.31</v>
      </c>
      <c r="AK143" s="7">
        <v>0.68</v>
      </c>
      <c r="AL143" s="8">
        <v>3436</v>
      </c>
      <c r="AM143" s="14">
        <f>VLOOKUP(D143,[1]财务部报表_有人事号!$A$2:$D$400,3,0)</f>
        <v>5650</v>
      </c>
      <c r="AN143" s="14">
        <f>VLOOKUP(D143,[1]财务部报表_有人事号!$A$2:$E$400,4,0)</f>
        <v>756.76</v>
      </c>
      <c r="AR143" t="str">
        <f>LOOKUP(D143,[2]contacts!$A$2:$A$400,[2]contacts!$G$2:$G$400)</f>
        <v>410998129@qq.com</v>
      </c>
    </row>
    <row r="144" spans="1:44">
      <c r="A144" s="5" t="s">
        <v>38</v>
      </c>
      <c r="B144" s="6" t="s">
        <v>39</v>
      </c>
      <c r="C144" s="6" t="s">
        <v>40</v>
      </c>
      <c r="D144" s="17" t="s">
        <v>318</v>
      </c>
      <c r="E144" s="6" t="s">
        <v>319</v>
      </c>
      <c r="F144" s="7">
        <v>1900</v>
      </c>
      <c r="G144" s="7">
        <v>1590</v>
      </c>
      <c r="H144" s="7">
        <v>3108</v>
      </c>
      <c r="I144" s="7">
        <v>56</v>
      </c>
      <c r="J144" s="7">
        <v>0</v>
      </c>
      <c r="K144" s="7">
        <v>0</v>
      </c>
      <c r="L144" s="7">
        <v>87.25</v>
      </c>
      <c r="M144" s="7">
        <v>600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7341.25</v>
      </c>
      <c r="U144" s="7">
        <v>0</v>
      </c>
      <c r="V144" s="7">
        <v>51.3</v>
      </c>
      <c r="W144" s="7">
        <v>101.15</v>
      </c>
      <c r="X144" s="7">
        <v>34.9</v>
      </c>
      <c r="Y144" s="7">
        <v>0</v>
      </c>
      <c r="Z144" s="7">
        <v>9.5</v>
      </c>
      <c r="AA144" s="7">
        <v>0</v>
      </c>
      <c r="AB144" s="7">
        <v>0</v>
      </c>
      <c r="AC144" s="7">
        <v>0</v>
      </c>
      <c r="AD144" s="7">
        <v>0</v>
      </c>
      <c r="AE144" s="7">
        <v>1369</v>
      </c>
      <c r="AF144" s="7">
        <v>0</v>
      </c>
      <c r="AG144" s="7">
        <v>0</v>
      </c>
      <c r="AH144" s="7">
        <v>1565.85</v>
      </c>
      <c r="AI144" s="7">
        <v>5776.13</v>
      </c>
      <c r="AJ144" s="7">
        <v>0.73</v>
      </c>
      <c r="AK144" s="7">
        <v>0.13</v>
      </c>
      <c r="AL144" s="8">
        <v>5776</v>
      </c>
      <c r="AM144" s="14">
        <f>VLOOKUP(D144,[1]财务部报表_有人事号!$A$2:$D$400,3,0)</f>
        <v>4950</v>
      </c>
      <c r="AN144" s="14">
        <f>VLOOKUP(D144,[1]财务部报表_有人事号!$A$2:$E$400,4,0)</f>
        <v>0</v>
      </c>
      <c r="AR144" t="str">
        <f>LOOKUP(D144,[2]contacts!$A$2:$A$400,[2]contacts!$G$2:$G$400)</f>
        <v>jzyang@whu.edu.cn</v>
      </c>
    </row>
    <row r="145" spans="1:44">
      <c r="A145" s="5" t="s">
        <v>38</v>
      </c>
      <c r="B145" s="6" t="s">
        <v>39</v>
      </c>
      <c r="C145" s="6" t="s">
        <v>40</v>
      </c>
      <c r="D145" s="17" t="s">
        <v>320</v>
      </c>
      <c r="E145" s="6" t="s">
        <v>321</v>
      </c>
      <c r="F145" s="7">
        <v>1630</v>
      </c>
      <c r="G145" s="7">
        <v>1334</v>
      </c>
      <c r="H145" s="7">
        <v>2961</v>
      </c>
      <c r="I145" s="7">
        <v>56</v>
      </c>
      <c r="J145" s="7">
        <v>20</v>
      </c>
      <c r="K145" s="7">
        <v>0</v>
      </c>
      <c r="L145" s="7">
        <v>74.099999999999994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6075.1</v>
      </c>
      <c r="U145" s="7">
        <v>0</v>
      </c>
      <c r="V145" s="7">
        <v>0</v>
      </c>
      <c r="W145" s="7">
        <v>0</v>
      </c>
      <c r="X145" s="7">
        <v>29.64</v>
      </c>
      <c r="Y145" s="7">
        <v>36.67</v>
      </c>
      <c r="Z145" s="7">
        <v>8.15</v>
      </c>
      <c r="AA145" s="7">
        <v>0</v>
      </c>
      <c r="AB145" s="7">
        <v>0</v>
      </c>
      <c r="AC145" s="7">
        <v>0</v>
      </c>
      <c r="AD145" s="7">
        <v>0</v>
      </c>
      <c r="AE145" s="7">
        <v>1249</v>
      </c>
      <c r="AF145" s="7">
        <v>0</v>
      </c>
      <c r="AG145" s="7">
        <v>0</v>
      </c>
      <c r="AH145" s="7">
        <v>1323.46</v>
      </c>
      <c r="AI145" s="7">
        <v>4751.8900000000003</v>
      </c>
      <c r="AJ145" s="7">
        <v>0.25</v>
      </c>
      <c r="AK145" s="7">
        <v>0.89</v>
      </c>
      <c r="AL145" s="8">
        <v>4751</v>
      </c>
      <c r="AM145" s="14">
        <f>VLOOKUP(D145,[1]财务部报表_有人事号!$A$2:$D$400,3,0)</f>
        <v>4150</v>
      </c>
      <c r="AN145" s="14">
        <f>VLOOKUP(D145,[1]财务部报表_有人事号!$A$2:$E$400,4,0)</f>
        <v>482.8</v>
      </c>
      <c r="AR145" t="str">
        <f>LOOKUP(D145,[2]contacts!$A$2:$A$400,[2]contacts!$G$2:$G$400)</f>
        <v>sycai126@163.com</v>
      </c>
    </row>
    <row r="146" spans="1:44">
      <c r="A146" s="5" t="s">
        <v>38</v>
      </c>
      <c r="B146" s="6" t="s">
        <v>39</v>
      </c>
      <c r="C146" s="6" t="s">
        <v>40</v>
      </c>
      <c r="D146" s="17" t="s">
        <v>322</v>
      </c>
      <c r="E146" s="6" t="s">
        <v>323</v>
      </c>
      <c r="F146" s="7">
        <v>1630</v>
      </c>
      <c r="G146" s="7">
        <v>984</v>
      </c>
      <c r="H146" s="7">
        <v>2961</v>
      </c>
      <c r="I146" s="7">
        <v>56</v>
      </c>
      <c r="J146" s="7">
        <v>0</v>
      </c>
      <c r="K146" s="7">
        <v>0</v>
      </c>
      <c r="L146" s="7">
        <v>65.349999999999994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5696.35</v>
      </c>
      <c r="U146" s="7">
        <v>0</v>
      </c>
      <c r="V146" s="7">
        <v>79.8</v>
      </c>
      <c r="W146" s="7">
        <v>47.6</v>
      </c>
      <c r="X146" s="7">
        <v>26.14</v>
      </c>
      <c r="Y146" s="7">
        <v>28.29</v>
      </c>
      <c r="Z146" s="7">
        <v>8.15</v>
      </c>
      <c r="AA146" s="7">
        <v>0</v>
      </c>
      <c r="AB146" s="7">
        <v>0</v>
      </c>
      <c r="AC146" s="7">
        <v>0</v>
      </c>
      <c r="AD146" s="7">
        <v>0</v>
      </c>
      <c r="AE146" s="7">
        <v>1162</v>
      </c>
      <c r="AF146" s="7">
        <v>0</v>
      </c>
      <c r="AG146" s="7">
        <v>0</v>
      </c>
      <c r="AH146" s="7">
        <v>1351.98</v>
      </c>
      <c r="AI146" s="7">
        <v>4345.1000000000004</v>
      </c>
      <c r="AJ146" s="7">
        <v>0.73</v>
      </c>
      <c r="AK146" s="7">
        <v>0.1</v>
      </c>
      <c r="AL146" s="8">
        <v>4345</v>
      </c>
      <c r="AM146" s="14">
        <f>VLOOKUP(D146,[1]财务部报表_有人事号!$A$2:$D$400,3,0)</f>
        <v>6550</v>
      </c>
      <c r="AN146" s="14">
        <f>VLOOKUP(D146,[1]财务部报表_有人事号!$A$2:$E$400,4,0)</f>
        <v>915.28000000000009</v>
      </c>
      <c r="AR146" t="str">
        <f>LOOKUP(D146,[2]contacts!$A$2:$A$400,[2]contacts!$G$2:$G$400)</f>
        <v>dgshao@whu.edu.cn</v>
      </c>
    </row>
    <row r="147" spans="1:44">
      <c r="A147" s="5" t="s">
        <v>38</v>
      </c>
      <c r="B147" s="6" t="s">
        <v>39</v>
      </c>
      <c r="C147" s="6" t="s">
        <v>40</v>
      </c>
      <c r="D147" s="17" t="s">
        <v>324</v>
      </c>
      <c r="E147" s="6" t="s">
        <v>325</v>
      </c>
      <c r="F147" s="7">
        <v>680</v>
      </c>
      <c r="G147" s="7">
        <v>799</v>
      </c>
      <c r="H147" s="7">
        <v>2065</v>
      </c>
      <c r="I147" s="7">
        <v>56</v>
      </c>
      <c r="J147" s="7">
        <v>0</v>
      </c>
      <c r="K147" s="7">
        <v>0</v>
      </c>
      <c r="L147" s="7">
        <v>36.979999999999997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3636.98</v>
      </c>
      <c r="U147" s="7">
        <v>0</v>
      </c>
      <c r="V147" s="7">
        <v>0</v>
      </c>
      <c r="W147" s="7">
        <v>0</v>
      </c>
      <c r="X147" s="7">
        <v>14.79</v>
      </c>
      <c r="Y147" s="7">
        <v>0</v>
      </c>
      <c r="Z147" s="7">
        <v>3.4</v>
      </c>
      <c r="AA147" s="7">
        <v>0</v>
      </c>
      <c r="AB147" s="7">
        <v>0</v>
      </c>
      <c r="AC147" s="7">
        <v>0</v>
      </c>
      <c r="AD147" s="7">
        <v>0</v>
      </c>
      <c r="AE147" s="7">
        <v>729</v>
      </c>
      <c r="AF147" s="7">
        <v>0</v>
      </c>
      <c r="AG147" s="7">
        <v>0</v>
      </c>
      <c r="AH147" s="7">
        <v>747.19</v>
      </c>
      <c r="AI147" s="7">
        <v>2890.75</v>
      </c>
      <c r="AJ147" s="7">
        <v>0.96</v>
      </c>
      <c r="AK147" s="7">
        <v>0.75</v>
      </c>
      <c r="AL147" s="8">
        <v>2890</v>
      </c>
      <c r="AM147" s="14">
        <f>VLOOKUP(D147,[1]财务部报表_有人事号!$A$2:$D$400,3,0)</f>
        <v>640</v>
      </c>
      <c r="AN147" s="14">
        <f>VLOOKUP(D147,[1]财务部报表_有人事号!$A$2:$E$400,4,0)</f>
        <v>0</v>
      </c>
      <c r="AR147" t="str">
        <f>LOOKUP(D147,[2]contacts!$A$2:$A$400,[2]contacts!$G$2:$G$400)</f>
        <v>00011585@whu.edu.cn</v>
      </c>
    </row>
    <row r="148" spans="1:44">
      <c r="A148" s="5" t="s">
        <v>38</v>
      </c>
      <c r="B148" s="6" t="s">
        <v>39</v>
      </c>
      <c r="C148" s="6" t="s">
        <v>40</v>
      </c>
      <c r="D148" s="17" t="s">
        <v>326</v>
      </c>
      <c r="E148" s="6" t="s">
        <v>327</v>
      </c>
      <c r="F148" s="7">
        <v>1630</v>
      </c>
      <c r="G148" s="7">
        <v>944</v>
      </c>
      <c r="H148" s="7">
        <v>2961</v>
      </c>
      <c r="I148" s="7">
        <v>56</v>
      </c>
      <c r="J148" s="7">
        <v>0</v>
      </c>
      <c r="K148" s="7">
        <v>0</v>
      </c>
      <c r="L148" s="7">
        <v>64.349999999999994</v>
      </c>
      <c r="M148" s="7">
        <v>0</v>
      </c>
      <c r="N148" s="7">
        <v>0</v>
      </c>
      <c r="O148" s="7">
        <v>0</v>
      </c>
      <c r="P148" s="7">
        <v>5</v>
      </c>
      <c r="Q148" s="7">
        <v>0</v>
      </c>
      <c r="R148" s="7">
        <v>0</v>
      </c>
      <c r="S148" s="7">
        <v>0</v>
      </c>
      <c r="T148" s="7">
        <v>5660.35</v>
      </c>
      <c r="U148" s="7">
        <v>0</v>
      </c>
      <c r="V148" s="7">
        <v>85.5</v>
      </c>
      <c r="W148" s="7">
        <v>99.96</v>
      </c>
      <c r="X148" s="7">
        <v>25.74</v>
      </c>
      <c r="Y148" s="7">
        <v>27.4</v>
      </c>
      <c r="Z148" s="7">
        <v>8.15</v>
      </c>
      <c r="AA148" s="7">
        <v>0</v>
      </c>
      <c r="AB148" s="7">
        <v>0</v>
      </c>
      <c r="AC148" s="7">
        <v>0</v>
      </c>
      <c r="AD148" s="7">
        <v>0</v>
      </c>
      <c r="AE148" s="7">
        <v>1152</v>
      </c>
      <c r="AF148" s="7">
        <v>0</v>
      </c>
      <c r="AG148" s="7">
        <v>0</v>
      </c>
      <c r="AH148" s="7">
        <v>1398.75</v>
      </c>
      <c r="AI148" s="7">
        <v>4261.83</v>
      </c>
      <c r="AJ148" s="7">
        <v>0.23</v>
      </c>
      <c r="AK148" s="7">
        <v>0.83</v>
      </c>
      <c r="AL148" s="8">
        <v>4261</v>
      </c>
      <c r="AM148" s="14">
        <f>VLOOKUP(D148,[1]财务部报表_有人事号!$A$2:$D$400,3,0)</f>
        <v>4150</v>
      </c>
      <c r="AN148" s="14">
        <f>VLOOKUP(D148,[1]财务部报表_有人事号!$A$2:$E$400,4,0)</f>
        <v>430.25</v>
      </c>
      <c r="AR148" t="str">
        <f>LOOKUP(D148,[2]contacts!$A$2:$A$400,[2]contacts!$G$2:$G$400)</f>
        <v>cuiyuanlai@263.net</v>
      </c>
    </row>
    <row r="149" spans="1:44">
      <c r="A149" s="5" t="s">
        <v>38</v>
      </c>
      <c r="B149" s="6" t="s">
        <v>39</v>
      </c>
      <c r="C149" s="6" t="s">
        <v>40</v>
      </c>
      <c r="D149" s="17" t="s">
        <v>328</v>
      </c>
      <c r="E149" s="6" t="s">
        <v>329</v>
      </c>
      <c r="F149" s="7">
        <v>1420</v>
      </c>
      <c r="G149" s="7">
        <v>984</v>
      </c>
      <c r="H149" s="7">
        <v>2779</v>
      </c>
      <c r="I149" s="7">
        <v>56</v>
      </c>
      <c r="J149" s="7">
        <v>0</v>
      </c>
      <c r="K149" s="7">
        <v>0</v>
      </c>
      <c r="L149" s="7">
        <v>60.1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5299.1</v>
      </c>
      <c r="U149" s="7">
        <v>0</v>
      </c>
      <c r="V149" s="7">
        <v>20.9</v>
      </c>
      <c r="W149" s="7">
        <v>74.97</v>
      </c>
      <c r="X149" s="7">
        <v>24.04</v>
      </c>
      <c r="Y149" s="7">
        <v>19.260000000000002</v>
      </c>
      <c r="Z149" s="7">
        <v>7.1</v>
      </c>
      <c r="AA149" s="7">
        <v>0</v>
      </c>
      <c r="AB149" s="7">
        <v>0</v>
      </c>
      <c r="AC149" s="7">
        <v>0</v>
      </c>
      <c r="AD149" s="7">
        <v>0</v>
      </c>
      <c r="AE149" s="7">
        <v>1073</v>
      </c>
      <c r="AF149" s="7">
        <v>0</v>
      </c>
      <c r="AG149" s="7">
        <v>0</v>
      </c>
      <c r="AH149" s="7">
        <v>1219.27</v>
      </c>
      <c r="AI149" s="7">
        <v>4080.1</v>
      </c>
      <c r="AJ149" s="7">
        <v>0.27</v>
      </c>
      <c r="AK149" s="7">
        <v>0.1</v>
      </c>
      <c r="AL149" s="8">
        <v>4080</v>
      </c>
      <c r="AM149" s="14">
        <f>VLOOKUP(D149,[1]财务部报表_有人事号!$A$2:$D$400,3,0)</f>
        <v>3350</v>
      </c>
      <c r="AN149" s="14">
        <f>VLOOKUP(D149,[1]财务部报表_有人事号!$A$2:$E$400,4,0)</f>
        <v>274.94</v>
      </c>
      <c r="AR149" t="str">
        <f>LOOKUP(D149,[2]contacts!$A$2:$A$400,[2]contacts!$G$2:$G$400)</f>
        <v>wangxg@whu.edu.cn</v>
      </c>
    </row>
    <row r="150" spans="1:44">
      <c r="A150" s="5" t="s">
        <v>38</v>
      </c>
      <c r="B150" s="6" t="s">
        <v>39</v>
      </c>
      <c r="C150" s="6" t="s">
        <v>40</v>
      </c>
      <c r="D150" s="17" t="s">
        <v>330</v>
      </c>
      <c r="E150" s="6" t="s">
        <v>331</v>
      </c>
      <c r="F150" s="7">
        <v>1630</v>
      </c>
      <c r="G150" s="7">
        <v>1289</v>
      </c>
      <c r="H150" s="7">
        <v>2961</v>
      </c>
      <c r="I150" s="7">
        <v>56</v>
      </c>
      <c r="J150" s="7">
        <v>0</v>
      </c>
      <c r="K150" s="7">
        <v>0</v>
      </c>
      <c r="L150" s="7">
        <v>72.98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6008.98</v>
      </c>
      <c r="U150" s="7">
        <v>0</v>
      </c>
      <c r="V150" s="7">
        <v>79.8</v>
      </c>
      <c r="W150" s="7">
        <v>80.33</v>
      </c>
      <c r="X150" s="7">
        <v>29.19</v>
      </c>
      <c r="Y150" s="7">
        <v>35.06</v>
      </c>
      <c r="Z150" s="7">
        <v>8.15</v>
      </c>
      <c r="AA150" s="7">
        <v>0</v>
      </c>
      <c r="AB150" s="7">
        <v>0</v>
      </c>
      <c r="AC150" s="7">
        <v>0</v>
      </c>
      <c r="AD150" s="7">
        <v>0</v>
      </c>
      <c r="AE150" s="7">
        <v>1238</v>
      </c>
      <c r="AF150" s="7">
        <v>0</v>
      </c>
      <c r="AG150" s="7">
        <v>0</v>
      </c>
      <c r="AH150" s="7">
        <v>1470.53</v>
      </c>
      <c r="AI150" s="7">
        <v>4538.67</v>
      </c>
      <c r="AJ150" s="7">
        <v>0.22</v>
      </c>
      <c r="AK150" s="7">
        <v>0.67</v>
      </c>
      <c r="AL150" s="8">
        <v>4538</v>
      </c>
      <c r="AM150" s="14">
        <f>VLOOKUP(D150,[1]财务部报表_有人事号!$A$2:$D$400,3,0)</f>
        <v>4150</v>
      </c>
      <c r="AN150" s="14">
        <f>VLOOKUP(D150,[1]财务部报表_有人事号!$A$2:$E$400,4,0)</f>
        <v>473.7</v>
      </c>
      <c r="AR150" t="str">
        <f>LOOKUP(D150,[2]contacts!$A$2:$A$400,[2]contacts!$G$2:$G$400)</f>
        <v>luojy@whu.edu.cn</v>
      </c>
    </row>
    <row r="151" spans="1:44">
      <c r="A151" s="5" t="s">
        <v>38</v>
      </c>
      <c r="B151" s="6" t="s">
        <v>39</v>
      </c>
      <c r="C151" s="6" t="s">
        <v>40</v>
      </c>
      <c r="D151" s="17" t="s">
        <v>332</v>
      </c>
      <c r="E151" s="6" t="s">
        <v>333</v>
      </c>
      <c r="F151" s="7">
        <v>1420</v>
      </c>
      <c r="G151" s="7">
        <v>984</v>
      </c>
      <c r="H151" s="7">
        <v>2779</v>
      </c>
      <c r="I151" s="7">
        <v>56</v>
      </c>
      <c r="J151" s="7">
        <v>20</v>
      </c>
      <c r="K151" s="7">
        <v>0</v>
      </c>
      <c r="L151" s="7">
        <v>60.1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5319.1</v>
      </c>
      <c r="U151" s="7">
        <v>0</v>
      </c>
      <c r="V151" s="7">
        <v>0</v>
      </c>
      <c r="W151" s="7">
        <v>0</v>
      </c>
      <c r="X151" s="7">
        <v>24.04</v>
      </c>
      <c r="Y151" s="7">
        <v>19.86</v>
      </c>
      <c r="Z151" s="7">
        <v>7.1</v>
      </c>
      <c r="AA151" s="7">
        <v>0</v>
      </c>
      <c r="AB151" s="7">
        <v>0</v>
      </c>
      <c r="AC151" s="7">
        <v>0</v>
      </c>
      <c r="AD151" s="7">
        <v>0</v>
      </c>
      <c r="AE151" s="7">
        <v>1073</v>
      </c>
      <c r="AF151" s="7">
        <v>0</v>
      </c>
      <c r="AG151" s="7">
        <v>0</v>
      </c>
      <c r="AH151" s="7">
        <v>1124</v>
      </c>
      <c r="AI151" s="7">
        <v>4195.45</v>
      </c>
      <c r="AJ151" s="7">
        <v>0.35</v>
      </c>
      <c r="AK151" s="7">
        <v>0.45</v>
      </c>
      <c r="AL151" s="8">
        <v>4195</v>
      </c>
      <c r="AM151" s="14">
        <f>VLOOKUP(D151,[1]财务部报表_有人事号!$A$2:$D$400,3,0)</f>
        <v>3350</v>
      </c>
      <c r="AN151" s="14">
        <f>VLOOKUP(D151,[1]财务部报表_有人事号!$A$2:$E$400,4,0)</f>
        <v>276.33999999999997</v>
      </c>
      <c r="AR151" t="str">
        <f>LOOKUP(D151,[2]contacts!$A$2:$A$400,[2]contacts!$G$2:$G$400)</f>
        <v>lhong@whu.edu.cn</v>
      </c>
    </row>
    <row r="152" spans="1:44">
      <c r="A152" s="5" t="s">
        <v>38</v>
      </c>
      <c r="B152" s="6" t="s">
        <v>39</v>
      </c>
      <c r="C152" s="6" t="s">
        <v>40</v>
      </c>
      <c r="D152" s="17" t="s">
        <v>334</v>
      </c>
      <c r="E152" s="6" t="s">
        <v>335</v>
      </c>
      <c r="F152" s="7">
        <v>730</v>
      </c>
      <c r="G152" s="7">
        <v>499</v>
      </c>
      <c r="H152" s="7">
        <v>2102</v>
      </c>
      <c r="I152" s="7">
        <v>56</v>
      </c>
      <c r="J152" s="7">
        <v>20</v>
      </c>
      <c r="K152" s="7">
        <v>0</v>
      </c>
      <c r="L152" s="7">
        <v>30.73</v>
      </c>
      <c r="M152" s="7">
        <v>0</v>
      </c>
      <c r="N152" s="7">
        <v>0</v>
      </c>
      <c r="O152" s="7">
        <v>0</v>
      </c>
      <c r="P152" s="7">
        <v>5</v>
      </c>
      <c r="Q152" s="7">
        <v>0</v>
      </c>
      <c r="R152" s="7">
        <v>0</v>
      </c>
      <c r="S152" s="7">
        <v>0</v>
      </c>
      <c r="T152" s="7">
        <v>3442.73</v>
      </c>
      <c r="U152" s="7">
        <v>0</v>
      </c>
      <c r="V152" s="7">
        <v>0</v>
      </c>
      <c r="W152" s="7">
        <v>0</v>
      </c>
      <c r="X152" s="7">
        <v>12.29</v>
      </c>
      <c r="Y152" s="7">
        <v>0</v>
      </c>
      <c r="Z152" s="7">
        <v>3.65</v>
      </c>
      <c r="AA152" s="7">
        <v>0</v>
      </c>
      <c r="AB152" s="7">
        <v>0</v>
      </c>
      <c r="AC152" s="7">
        <v>0</v>
      </c>
      <c r="AD152" s="7">
        <v>0</v>
      </c>
      <c r="AE152" s="7">
        <v>672</v>
      </c>
      <c r="AF152" s="7">
        <v>0</v>
      </c>
      <c r="AG152" s="7">
        <v>0</v>
      </c>
      <c r="AH152" s="7">
        <v>687.94</v>
      </c>
      <c r="AI152" s="7">
        <v>2755.6</v>
      </c>
      <c r="AJ152" s="7">
        <v>0.81</v>
      </c>
      <c r="AK152" s="7">
        <v>0.6</v>
      </c>
      <c r="AL152" s="8">
        <v>2755</v>
      </c>
      <c r="AM152" s="14">
        <f>VLOOKUP(D152,[1]财务部报表_有人事号!$A$2:$D$400,3,0)</f>
        <v>1300</v>
      </c>
      <c r="AN152" s="14">
        <f>VLOOKUP(D152,[1]财务部报表_有人事号!$A$2:$E$400,4,0)</f>
        <v>15.68</v>
      </c>
      <c r="AR152" t="str">
        <f>LOOKUP(D152,[2]contacts!$A$2:$A$400,[2]contacts!$G$2:$G$400)</f>
        <v>xhchenw@163.com</v>
      </c>
    </row>
    <row r="153" spans="1:44">
      <c r="A153" s="5" t="s">
        <v>38</v>
      </c>
      <c r="B153" s="6" t="s">
        <v>39</v>
      </c>
      <c r="C153" s="6" t="s">
        <v>40</v>
      </c>
      <c r="D153" s="17" t="s">
        <v>336</v>
      </c>
      <c r="E153" s="6" t="s">
        <v>337</v>
      </c>
      <c r="F153" s="7">
        <v>730</v>
      </c>
      <c r="G153" s="7">
        <v>471</v>
      </c>
      <c r="H153" s="7">
        <v>2102</v>
      </c>
      <c r="I153" s="7">
        <v>56</v>
      </c>
      <c r="J153" s="7">
        <v>0</v>
      </c>
      <c r="K153" s="7">
        <v>0</v>
      </c>
      <c r="L153" s="7">
        <v>30.03</v>
      </c>
      <c r="M153" s="7">
        <v>0</v>
      </c>
      <c r="N153" s="7">
        <v>0</v>
      </c>
      <c r="O153" s="7">
        <v>0</v>
      </c>
      <c r="P153" s="7">
        <v>5</v>
      </c>
      <c r="Q153" s="7">
        <v>0</v>
      </c>
      <c r="R153" s="7">
        <v>0</v>
      </c>
      <c r="S153" s="7">
        <v>0</v>
      </c>
      <c r="T153" s="7">
        <v>3394.03</v>
      </c>
      <c r="U153" s="7">
        <v>0</v>
      </c>
      <c r="V153" s="7">
        <v>0</v>
      </c>
      <c r="W153" s="7">
        <v>0</v>
      </c>
      <c r="X153" s="7">
        <v>12.01</v>
      </c>
      <c r="Y153" s="7">
        <v>0</v>
      </c>
      <c r="Z153" s="7">
        <v>3.65</v>
      </c>
      <c r="AA153" s="7">
        <v>0</v>
      </c>
      <c r="AB153" s="7">
        <v>0</v>
      </c>
      <c r="AC153" s="7">
        <v>0</v>
      </c>
      <c r="AD153" s="7">
        <v>0</v>
      </c>
      <c r="AE153" s="7">
        <v>665</v>
      </c>
      <c r="AF153" s="7">
        <v>0</v>
      </c>
      <c r="AG153" s="7">
        <v>0</v>
      </c>
      <c r="AH153" s="7">
        <v>680.66</v>
      </c>
      <c r="AI153" s="7">
        <v>2713.45</v>
      </c>
      <c r="AJ153" s="7">
        <v>0.08</v>
      </c>
      <c r="AK153" s="7">
        <v>0.45</v>
      </c>
      <c r="AL153" s="8">
        <v>2713</v>
      </c>
      <c r="AM153" s="14">
        <f>VLOOKUP(D153,[1]财务部报表_有人事号!$A$2:$D$400,3,0)</f>
        <v>1430</v>
      </c>
      <c r="AN153" s="14">
        <f>VLOOKUP(D153,[1]财务部报表_有人事号!$A$2:$E$400,4,0)</f>
        <v>18.36</v>
      </c>
      <c r="AR153" t="str">
        <f>LOOKUP(D153,[2]contacts!$A$2:$A$400,[2]contacts!$G$2:$G$400)</f>
        <v>yfqiu@whu.edu.cn</v>
      </c>
    </row>
    <row r="154" spans="1:44">
      <c r="A154" s="5" t="s">
        <v>38</v>
      </c>
      <c r="B154" s="6" t="s">
        <v>39</v>
      </c>
      <c r="C154" s="6" t="s">
        <v>40</v>
      </c>
      <c r="D154" s="17" t="s">
        <v>338</v>
      </c>
      <c r="E154" s="6" t="s">
        <v>339</v>
      </c>
      <c r="F154" s="7">
        <v>930</v>
      </c>
      <c r="G154" s="7">
        <v>471</v>
      </c>
      <c r="H154" s="7">
        <v>2376</v>
      </c>
      <c r="I154" s="7">
        <v>56</v>
      </c>
      <c r="J154" s="7">
        <v>0</v>
      </c>
      <c r="K154" s="7">
        <v>0</v>
      </c>
      <c r="L154" s="7">
        <v>35.03</v>
      </c>
      <c r="M154" s="7">
        <v>0</v>
      </c>
      <c r="N154" s="7">
        <v>0</v>
      </c>
      <c r="O154" s="7">
        <v>0</v>
      </c>
      <c r="P154" s="7">
        <v>5</v>
      </c>
      <c r="Q154" s="7">
        <v>0</v>
      </c>
      <c r="R154" s="7">
        <v>0</v>
      </c>
      <c r="S154" s="7">
        <v>0</v>
      </c>
      <c r="T154" s="7">
        <v>3873.03</v>
      </c>
      <c r="U154" s="7">
        <v>0</v>
      </c>
      <c r="V154" s="7">
        <v>0</v>
      </c>
      <c r="W154" s="7">
        <v>0</v>
      </c>
      <c r="X154" s="7">
        <v>14.01</v>
      </c>
      <c r="Y154" s="7">
        <v>0</v>
      </c>
      <c r="Z154" s="7">
        <v>4.6500000000000004</v>
      </c>
      <c r="AA154" s="7">
        <v>0</v>
      </c>
      <c r="AB154" s="7">
        <v>0</v>
      </c>
      <c r="AC154" s="7">
        <v>0</v>
      </c>
      <c r="AD154" s="7">
        <v>0</v>
      </c>
      <c r="AE154" s="7">
        <v>761</v>
      </c>
      <c r="AF154" s="7">
        <v>0</v>
      </c>
      <c r="AG154" s="7">
        <v>0</v>
      </c>
      <c r="AH154" s="7">
        <v>779.66</v>
      </c>
      <c r="AI154" s="7">
        <v>3093.38</v>
      </c>
      <c r="AJ154" s="7">
        <v>0.01</v>
      </c>
      <c r="AK154" s="7">
        <v>0.38</v>
      </c>
      <c r="AL154" s="8">
        <v>3093</v>
      </c>
      <c r="AM154" s="14">
        <f>VLOOKUP(D154,[1]财务部报表_有人事号!$A$2:$D$400,3,0)</f>
        <v>1950</v>
      </c>
      <c r="AN154" s="14">
        <f>VLOOKUP(D154,[1]财务部报表_有人事号!$A$2:$E$400,4,0)</f>
        <v>45.8</v>
      </c>
      <c r="AR154" t="str">
        <f>LOOKUP(D154,[2]contacts!$A$2:$A$400,[2]contacts!$G$2:$G$400)</f>
        <v>50415634@qq.com</v>
      </c>
    </row>
    <row r="155" spans="1:44">
      <c r="A155" s="5" t="s">
        <v>38</v>
      </c>
      <c r="B155" s="6" t="s">
        <v>39</v>
      </c>
      <c r="C155" s="6" t="s">
        <v>40</v>
      </c>
      <c r="D155" s="17" t="s">
        <v>340</v>
      </c>
      <c r="E155" s="6" t="s">
        <v>341</v>
      </c>
      <c r="F155" s="7">
        <v>590</v>
      </c>
      <c r="G155" s="7">
        <v>643</v>
      </c>
      <c r="H155" s="7">
        <v>1882</v>
      </c>
      <c r="I155" s="7">
        <v>56</v>
      </c>
      <c r="J155" s="7">
        <v>0</v>
      </c>
      <c r="K155" s="7">
        <v>0</v>
      </c>
      <c r="L155" s="7">
        <v>30.83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3201.83</v>
      </c>
      <c r="U155" s="7">
        <v>0</v>
      </c>
      <c r="V155" s="7">
        <v>9.5</v>
      </c>
      <c r="W155" s="7">
        <v>280.83999999999997</v>
      </c>
      <c r="X155" s="7">
        <v>12.33</v>
      </c>
      <c r="Y155" s="7">
        <v>0</v>
      </c>
      <c r="Z155" s="7">
        <v>2.95</v>
      </c>
      <c r="AA155" s="7">
        <v>0</v>
      </c>
      <c r="AB155" s="7">
        <v>0</v>
      </c>
      <c r="AC155" s="7">
        <v>0</v>
      </c>
      <c r="AD155" s="7">
        <v>0</v>
      </c>
      <c r="AE155" s="7">
        <v>637</v>
      </c>
      <c r="AF155" s="7">
        <v>0</v>
      </c>
      <c r="AG155" s="7">
        <v>0</v>
      </c>
      <c r="AH155" s="7">
        <v>942.62</v>
      </c>
      <c r="AI155" s="7">
        <v>2259.6999999999998</v>
      </c>
      <c r="AJ155" s="7">
        <v>0.49</v>
      </c>
      <c r="AK155" s="7">
        <v>0.7</v>
      </c>
      <c r="AL155" s="8">
        <v>2259</v>
      </c>
      <c r="AM155" s="14">
        <f>VLOOKUP(D155,[1]财务部报表_有人事号!$A$2:$D$400,3,0)</f>
        <v>1100</v>
      </c>
      <c r="AN155" s="14">
        <f>VLOOKUP(D155,[1]财务部报表_有人事号!$A$2:$E$400,4,0)</f>
        <v>3.65</v>
      </c>
      <c r="AR155" t="str">
        <f>LOOKUP(D155,[2]contacts!$A$2:$A$400,[2]contacts!$G$2:$G$400)</f>
        <v>00011595@whu.edu.cn</v>
      </c>
    </row>
    <row r="156" spans="1:44">
      <c r="A156" s="5" t="s">
        <v>38</v>
      </c>
      <c r="B156" s="6" t="s">
        <v>39</v>
      </c>
      <c r="C156" s="6" t="s">
        <v>40</v>
      </c>
      <c r="D156" s="17" t="s">
        <v>342</v>
      </c>
      <c r="E156" s="6" t="s">
        <v>343</v>
      </c>
      <c r="F156" s="7">
        <v>615</v>
      </c>
      <c r="G156" s="7">
        <v>363</v>
      </c>
      <c r="H156" s="7">
        <v>1919</v>
      </c>
      <c r="I156" s="7">
        <v>56</v>
      </c>
      <c r="J156" s="7">
        <v>0</v>
      </c>
      <c r="K156" s="7">
        <v>0</v>
      </c>
      <c r="L156" s="7">
        <v>24.45</v>
      </c>
      <c r="M156" s="7">
        <v>0</v>
      </c>
      <c r="N156" s="7">
        <v>0</v>
      </c>
      <c r="O156" s="7">
        <v>0</v>
      </c>
      <c r="P156" s="7">
        <v>5</v>
      </c>
      <c r="Q156" s="7">
        <v>0</v>
      </c>
      <c r="R156" s="7">
        <v>0</v>
      </c>
      <c r="S156" s="7">
        <v>0</v>
      </c>
      <c r="T156" s="7">
        <v>2982.45</v>
      </c>
      <c r="U156" s="7">
        <v>0</v>
      </c>
      <c r="V156" s="7">
        <v>0</v>
      </c>
      <c r="W156" s="7">
        <v>0</v>
      </c>
      <c r="X156" s="7">
        <v>9.7799999999999994</v>
      </c>
      <c r="Y156" s="7">
        <v>0</v>
      </c>
      <c r="Z156" s="7">
        <v>3.08</v>
      </c>
      <c r="AA156" s="7">
        <v>0</v>
      </c>
      <c r="AB156" s="7">
        <v>0</v>
      </c>
      <c r="AC156" s="7">
        <v>0</v>
      </c>
      <c r="AD156" s="7">
        <v>0</v>
      </c>
      <c r="AE156" s="7">
        <v>576</v>
      </c>
      <c r="AF156" s="7">
        <v>0</v>
      </c>
      <c r="AG156" s="7">
        <v>0</v>
      </c>
      <c r="AH156" s="7">
        <v>588.86</v>
      </c>
      <c r="AI156" s="7">
        <v>2394.1</v>
      </c>
      <c r="AJ156" s="7">
        <v>0.51</v>
      </c>
      <c r="AK156" s="7">
        <v>0.1</v>
      </c>
      <c r="AL156" s="8">
        <v>2394</v>
      </c>
      <c r="AM156" s="14">
        <f>VLOOKUP(D156,[1]财务部报表_有人事号!$A$2:$D$400,3,0)</f>
        <v>1050</v>
      </c>
      <c r="AN156" s="14">
        <f>VLOOKUP(D156,[1]财务部报表_有人事号!$A$2:$E$400,4,0)</f>
        <v>0</v>
      </c>
      <c r="AR156" t="str">
        <f>LOOKUP(D156,[2]contacts!$A$2:$A$400,[2]contacts!$G$2:$G$400)</f>
        <v>qqizhi@163.com</v>
      </c>
    </row>
    <row r="157" spans="1:44">
      <c r="A157" s="5" t="s">
        <v>38</v>
      </c>
      <c r="B157" s="6" t="s">
        <v>39</v>
      </c>
      <c r="C157" s="6" t="s">
        <v>40</v>
      </c>
      <c r="D157" s="17" t="s">
        <v>344</v>
      </c>
      <c r="E157" s="6" t="s">
        <v>345</v>
      </c>
      <c r="F157" s="7">
        <v>615</v>
      </c>
      <c r="G157" s="7">
        <v>556</v>
      </c>
      <c r="H157" s="7">
        <v>1919</v>
      </c>
      <c r="I157" s="7">
        <v>56</v>
      </c>
      <c r="J157" s="7">
        <v>20</v>
      </c>
      <c r="K157" s="7">
        <v>0</v>
      </c>
      <c r="L157" s="7">
        <v>29.28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3195.28</v>
      </c>
      <c r="U157" s="7">
        <v>0</v>
      </c>
      <c r="V157" s="7">
        <v>106.4</v>
      </c>
      <c r="W157" s="7">
        <v>19.04</v>
      </c>
      <c r="X157" s="7">
        <v>11.71</v>
      </c>
      <c r="Y157" s="7">
        <v>0</v>
      </c>
      <c r="Z157" s="7">
        <v>3.08</v>
      </c>
      <c r="AA157" s="7">
        <v>0</v>
      </c>
      <c r="AB157" s="7">
        <v>0</v>
      </c>
      <c r="AC157" s="7">
        <v>0</v>
      </c>
      <c r="AD157" s="7">
        <v>0</v>
      </c>
      <c r="AE157" s="7">
        <v>625</v>
      </c>
      <c r="AF157" s="7">
        <v>0</v>
      </c>
      <c r="AG157" s="7">
        <v>0</v>
      </c>
      <c r="AH157" s="7">
        <v>765.23</v>
      </c>
      <c r="AI157" s="7">
        <v>2430.44</v>
      </c>
      <c r="AJ157" s="7">
        <v>0.39</v>
      </c>
      <c r="AK157" s="7">
        <v>0.44</v>
      </c>
      <c r="AL157" s="8">
        <v>2430</v>
      </c>
      <c r="AM157" s="14">
        <f>VLOOKUP(D157,[1]财务部报表_有人事号!$A$2:$D$400,3,0)</f>
        <v>1050</v>
      </c>
      <c r="AN157" s="14">
        <f>VLOOKUP(D157,[1]财务部报表_有人事号!$A$2:$E$400,4,0)</f>
        <v>2.38</v>
      </c>
      <c r="AR157" t="str">
        <f>LOOKUP(D157,[2]contacts!$A$2:$A$400,[2]contacts!$G$2:$G$400)</f>
        <v>waterstill@whu.edu.cn</v>
      </c>
    </row>
    <row r="158" spans="1:44">
      <c r="A158" s="5" t="s">
        <v>38</v>
      </c>
      <c r="B158" s="6" t="s">
        <v>39</v>
      </c>
      <c r="C158" s="6" t="s">
        <v>40</v>
      </c>
      <c r="D158" s="17" t="s">
        <v>346</v>
      </c>
      <c r="E158" s="6" t="s">
        <v>347</v>
      </c>
      <c r="F158" s="7">
        <v>1180</v>
      </c>
      <c r="G158" s="7">
        <v>984</v>
      </c>
      <c r="H158" s="7">
        <v>2468</v>
      </c>
      <c r="I158" s="7">
        <v>56</v>
      </c>
      <c r="J158" s="7">
        <v>0</v>
      </c>
      <c r="K158" s="7">
        <v>0</v>
      </c>
      <c r="L158" s="7">
        <v>54.1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4742.1000000000004</v>
      </c>
      <c r="U158" s="7">
        <v>0</v>
      </c>
      <c r="V158" s="7">
        <v>499.7</v>
      </c>
      <c r="W158" s="7">
        <v>213.6</v>
      </c>
      <c r="X158" s="7">
        <v>21.64</v>
      </c>
      <c r="Y158" s="7">
        <v>5.98</v>
      </c>
      <c r="Z158" s="7">
        <v>5.9</v>
      </c>
      <c r="AA158" s="7">
        <v>0</v>
      </c>
      <c r="AB158" s="7">
        <v>0</v>
      </c>
      <c r="AC158" s="7">
        <v>0</v>
      </c>
      <c r="AD158" s="7">
        <v>0</v>
      </c>
      <c r="AE158" s="7">
        <v>967</v>
      </c>
      <c r="AF158" s="7">
        <v>0</v>
      </c>
      <c r="AG158" s="7">
        <v>0</v>
      </c>
      <c r="AH158" s="7">
        <v>1713.82</v>
      </c>
      <c r="AI158" s="7">
        <v>3029.26</v>
      </c>
      <c r="AJ158" s="7">
        <v>0.98</v>
      </c>
      <c r="AK158" s="7">
        <v>0.26</v>
      </c>
      <c r="AL158" s="8">
        <v>3029</v>
      </c>
      <c r="AM158" s="14">
        <f>VLOOKUP(D158,[1]财务部报表_有人事号!$A$2:$D$400,3,0)</f>
        <v>2300</v>
      </c>
      <c r="AN158" s="14">
        <f>VLOOKUP(D158,[1]财务部报表_有人事号!$A$2:$E$400,4,0)</f>
        <v>138.96</v>
      </c>
      <c r="AR158" t="str">
        <f>LOOKUP(D158,[2]contacts!$A$2:$A$400,[2]contacts!$G$2:$G$400)</f>
        <v>wdwfq@sohu.com</v>
      </c>
    </row>
    <row r="159" spans="1:44">
      <c r="A159" s="5" t="s">
        <v>38</v>
      </c>
      <c r="B159" s="6" t="s">
        <v>39</v>
      </c>
      <c r="C159" s="6" t="s">
        <v>40</v>
      </c>
      <c r="D159" s="17" t="s">
        <v>348</v>
      </c>
      <c r="E159" s="6" t="s">
        <v>349</v>
      </c>
      <c r="F159" s="7">
        <v>730</v>
      </c>
      <c r="G159" s="7">
        <v>499</v>
      </c>
      <c r="H159" s="7">
        <v>2102</v>
      </c>
      <c r="I159" s="7">
        <v>56</v>
      </c>
      <c r="J159" s="7">
        <v>0</v>
      </c>
      <c r="K159" s="7">
        <v>0</v>
      </c>
      <c r="L159" s="7">
        <v>30.73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3417.73</v>
      </c>
      <c r="U159" s="7">
        <v>0</v>
      </c>
      <c r="V159" s="7">
        <v>746.7</v>
      </c>
      <c r="W159" s="7">
        <v>53.55</v>
      </c>
      <c r="X159" s="7">
        <v>12.29</v>
      </c>
      <c r="Y159" s="7">
        <v>0</v>
      </c>
      <c r="Z159" s="7">
        <v>3.65</v>
      </c>
      <c r="AA159" s="7">
        <v>0</v>
      </c>
      <c r="AB159" s="7">
        <v>0</v>
      </c>
      <c r="AC159" s="7">
        <v>0</v>
      </c>
      <c r="AD159" s="7">
        <v>0</v>
      </c>
      <c r="AE159" s="7">
        <v>672</v>
      </c>
      <c r="AF159" s="7">
        <v>0</v>
      </c>
      <c r="AG159" s="7">
        <v>0</v>
      </c>
      <c r="AH159" s="7">
        <v>1488.19</v>
      </c>
      <c r="AI159" s="7">
        <v>1930.27</v>
      </c>
      <c r="AJ159" s="7">
        <v>0.73</v>
      </c>
      <c r="AK159" s="7">
        <v>0.27</v>
      </c>
      <c r="AL159" s="8">
        <v>1930</v>
      </c>
      <c r="AM159" s="14">
        <f>VLOOKUP(D159,[1]财务部报表_有人事号!$A$2:$D$400,3,0)</f>
        <v>1430</v>
      </c>
      <c r="AN159" s="14">
        <f>VLOOKUP(D159,[1]财务部报表_有人事号!$A$2:$E$400,4,0)</f>
        <v>18.98</v>
      </c>
      <c r="AR159" t="str">
        <f>LOOKUP(D159,[2]contacts!$A$2:$A$400,[2]contacts!$G$2:$G$400)</f>
        <v>fengxb999@21cn.com</v>
      </c>
    </row>
    <row r="160" spans="1:44">
      <c r="A160" s="5" t="s">
        <v>38</v>
      </c>
      <c r="B160" s="6" t="s">
        <v>39</v>
      </c>
      <c r="C160" s="6" t="s">
        <v>40</v>
      </c>
      <c r="D160" s="17" t="s">
        <v>350</v>
      </c>
      <c r="E160" s="6" t="s">
        <v>351</v>
      </c>
      <c r="F160" s="7">
        <v>1040</v>
      </c>
      <c r="G160" s="7">
        <v>1109</v>
      </c>
      <c r="H160" s="7">
        <v>2413</v>
      </c>
      <c r="I160" s="7">
        <v>56</v>
      </c>
      <c r="J160" s="7">
        <v>0</v>
      </c>
      <c r="K160" s="7">
        <v>0</v>
      </c>
      <c r="L160" s="7">
        <v>53.73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4671.7299999999996</v>
      </c>
      <c r="U160" s="7">
        <v>0</v>
      </c>
      <c r="V160" s="7">
        <v>0</v>
      </c>
      <c r="W160" s="7">
        <v>0</v>
      </c>
      <c r="X160" s="7">
        <v>21.49</v>
      </c>
      <c r="Y160" s="7">
        <v>4.28</v>
      </c>
      <c r="Z160" s="7">
        <v>5.2</v>
      </c>
      <c r="AA160" s="7">
        <v>0</v>
      </c>
      <c r="AB160" s="7">
        <v>0</v>
      </c>
      <c r="AC160" s="7">
        <v>0</v>
      </c>
      <c r="AD160" s="7">
        <v>0</v>
      </c>
      <c r="AE160" s="7">
        <v>954</v>
      </c>
      <c r="AF160" s="7">
        <v>0</v>
      </c>
      <c r="AG160" s="7">
        <v>0</v>
      </c>
      <c r="AH160" s="7">
        <v>984.97</v>
      </c>
      <c r="AI160" s="7">
        <v>3687.58</v>
      </c>
      <c r="AJ160" s="7">
        <v>0.82</v>
      </c>
      <c r="AK160" s="7">
        <v>0.57999999999999996</v>
      </c>
      <c r="AL160" s="8">
        <v>3687</v>
      </c>
      <c r="AM160" s="14">
        <f>VLOOKUP(D160,[1]财务部报表_有人事号!$A$2:$D$400,3,0)</f>
        <v>2100</v>
      </c>
      <c r="AN160" s="14">
        <f>VLOOKUP(D160,[1]财务部报表_有人事号!$A$2:$E$400,4,0)</f>
        <v>114.97</v>
      </c>
      <c r="AR160" t="str">
        <f>LOOKUP(D160,[2]contacts!$A$2:$A$400,[2]contacts!$G$2:$G$400)</f>
        <v>lcc9583@163.com</v>
      </c>
    </row>
    <row r="161" spans="1:44">
      <c r="A161" s="5" t="s">
        <v>38</v>
      </c>
      <c r="B161" s="6" t="s">
        <v>39</v>
      </c>
      <c r="C161" s="6" t="s">
        <v>40</v>
      </c>
      <c r="D161" s="17" t="s">
        <v>352</v>
      </c>
      <c r="E161" s="6" t="s">
        <v>353</v>
      </c>
      <c r="F161" s="7">
        <v>1420</v>
      </c>
      <c r="G161" s="7">
        <v>1024</v>
      </c>
      <c r="H161" s="7">
        <v>2779</v>
      </c>
      <c r="I161" s="7">
        <v>56</v>
      </c>
      <c r="J161" s="7">
        <v>0</v>
      </c>
      <c r="K161" s="7">
        <v>0</v>
      </c>
      <c r="L161" s="7">
        <v>61.1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5340.1</v>
      </c>
      <c r="U161" s="7">
        <v>0</v>
      </c>
      <c r="V161" s="7">
        <v>66.5</v>
      </c>
      <c r="W161" s="7">
        <v>137.44</v>
      </c>
      <c r="X161" s="7">
        <v>24.44</v>
      </c>
      <c r="Y161" s="7">
        <v>20.149999999999999</v>
      </c>
      <c r="Z161" s="7">
        <v>7.1</v>
      </c>
      <c r="AA161" s="7">
        <v>0</v>
      </c>
      <c r="AB161" s="7">
        <v>0</v>
      </c>
      <c r="AC161" s="7">
        <v>0</v>
      </c>
      <c r="AD161" s="7">
        <v>0</v>
      </c>
      <c r="AE161" s="7">
        <v>1083</v>
      </c>
      <c r="AF161" s="7">
        <v>0</v>
      </c>
      <c r="AG161" s="7">
        <v>0</v>
      </c>
      <c r="AH161" s="7">
        <v>1338.63</v>
      </c>
      <c r="AI161" s="7">
        <v>4001.65</v>
      </c>
      <c r="AJ161" s="7">
        <v>0.18</v>
      </c>
      <c r="AK161" s="7">
        <v>0.65</v>
      </c>
      <c r="AL161" s="8">
        <v>4001</v>
      </c>
      <c r="AM161" s="14">
        <f>VLOOKUP(D161,[1]财务部报表_有人事号!$A$2:$D$400,3,0)</f>
        <v>3350</v>
      </c>
      <c r="AN161" s="14">
        <f>VLOOKUP(D161,[1]财务部报表_有人事号!$A$2:$E$400,4,0)</f>
        <v>277.01000000000005</v>
      </c>
      <c r="AR161" t="str">
        <f>LOOKUP(D161,[2]contacts!$A$2:$A$400,[2]contacts!$G$2:$G$400)</f>
        <v>lcswu@163.com</v>
      </c>
    </row>
    <row r="162" spans="1:44">
      <c r="A162" s="5" t="s">
        <v>38</v>
      </c>
      <c r="B162" s="6" t="s">
        <v>39</v>
      </c>
      <c r="C162" s="6" t="s">
        <v>40</v>
      </c>
      <c r="D162" s="17" t="s">
        <v>354</v>
      </c>
      <c r="E162" s="6" t="s">
        <v>355</v>
      </c>
      <c r="F162" s="7">
        <v>1420</v>
      </c>
      <c r="G162" s="7">
        <v>984</v>
      </c>
      <c r="H162" s="7">
        <v>2779</v>
      </c>
      <c r="I162" s="7">
        <v>56</v>
      </c>
      <c r="J162" s="7">
        <v>0</v>
      </c>
      <c r="K162" s="7">
        <v>0</v>
      </c>
      <c r="L162" s="7">
        <v>60.1</v>
      </c>
      <c r="M162" s="7">
        <v>0</v>
      </c>
      <c r="N162" s="7">
        <v>3000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8299.1</v>
      </c>
      <c r="U162" s="7">
        <v>0</v>
      </c>
      <c r="V162" s="7">
        <v>70.3</v>
      </c>
      <c r="W162" s="7">
        <v>166.6</v>
      </c>
      <c r="X162" s="7">
        <v>24.04</v>
      </c>
      <c r="Y162" s="7">
        <v>19.260000000000002</v>
      </c>
      <c r="Z162" s="7">
        <v>7.1</v>
      </c>
      <c r="AA162" s="7">
        <v>0</v>
      </c>
      <c r="AB162" s="7">
        <v>0</v>
      </c>
      <c r="AC162" s="7">
        <v>0</v>
      </c>
      <c r="AD162" s="7">
        <v>0</v>
      </c>
      <c r="AE162" s="7">
        <v>1073</v>
      </c>
      <c r="AF162" s="7">
        <v>0</v>
      </c>
      <c r="AG162" s="7">
        <v>0</v>
      </c>
      <c r="AH162" s="7">
        <v>1360.3</v>
      </c>
      <c r="AI162" s="7">
        <v>6939.3</v>
      </c>
      <c r="AJ162" s="7">
        <v>0.5</v>
      </c>
      <c r="AK162" s="7">
        <v>0.3</v>
      </c>
      <c r="AL162" s="8">
        <v>6939</v>
      </c>
      <c r="AM162" s="14">
        <f>VLOOKUP(D162,[1]财务部报表_有人事号!$A$2:$D$400,3,0)</f>
        <v>3350</v>
      </c>
      <c r="AN162" s="14">
        <f>VLOOKUP(D162,[1]财务部报表_有人事号!$A$2:$E$400,4,0)</f>
        <v>274.94</v>
      </c>
      <c r="AR162" t="str">
        <f>LOOKUP(D162,[2]contacts!$A$2:$A$400,[2]contacts!$G$2:$G$400)</f>
        <v>ruanxj663@163.com</v>
      </c>
    </row>
    <row r="163" spans="1:44">
      <c r="A163" s="5" t="s">
        <v>38</v>
      </c>
      <c r="B163" s="6" t="s">
        <v>39</v>
      </c>
      <c r="C163" s="6" t="s">
        <v>40</v>
      </c>
      <c r="D163" s="17" t="s">
        <v>356</v>
      </c>
      <c r="E163" s="6" t="s">
        <v>357</v>
      </c>
      <c r="F163" s="7">
        <v>730</v>
      </c>
      <c r="G163" s="7">
        <v>799</v>
      </c>
      <c r="H163" s="7">
        <v>2102</v>
      </c>
      <c r="I163" s="7">
        <v>56</v>
      </c>
      <c r="J163" s="7">
        <v>0</v>
      </c>
      <c r="K163" s="7">
        <v>0</v>
      </c>
      <c r="L163" s="7">
        <v>38.229999999999997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3725.23</v>
      </c>
      <c r="U163" s="7">
        <v>0</v>
      </c>
      <c r="V163" s="7">
        <v>0</v>
      </c>
      <c r="W163" s="7">
        <v>0</v>
      </c>
      <c r="X163" s="7">
        <v>15.29</v>
      </c>
      <c r="Y163" s="7">
        <v>0</v>
      </c>
      <c r="Z163" s="7">
        <v>3.65</v>
      </c>
      <c r="AA163" s="7">
        <v>0</v>
      </c>
      <c r="AB163" s="7">
        <v>0</v>
      </c>
      <c r="AC163" s="7">
        <v>0</v>
      </c>
      <c r="AD163" s="7">
        <v>0</v>
      </c>
      <c r="AE163" s="7">
        <v>747</v>
      </c>
      <c r="AF163" s="7">
        <v>0</v>
      </c>
      <c r="AG163" s="7">
        <v>0</v>
      </c>
      <c r="AH163" s="7">
        <v>765.94</v>
      </c>
      <c r="AI163" s="7">
        <v>2960.26</v>
      </c>
      <c r="AJ163" s="7">
        <v>0.97</v>
      </c>
      <c r="AK163" s="7">
        <v>0.26</v>
      </c>
      <c r="AL163" s="8">
        <v>2960</v>
      </c>
      <c r="AM163" s="14">
        <f>VLOOKUP(D163,[1]财务部报表_有人事号!$A$2:$D$400,3,0)</f>
        <v>1430</v>
      </c>
      <c r="AN163" s="14">
        <f>VLOOKUP(D163,[1]财务部报表_有人事号!$A$2:$E$400,4,0)</f>
        <v>25.64</v>
      </c>
      <c r="AR163" t="str">
        <f>LOOKUP(D163,[2]contacts!$A$2:$A$400,[2]contacts!$G$2:$G$400)</f>
        <v>zhaorongan@163.com</v>
      </c>
    </row>
    <row r="164" spans="1:44">
      <c r="A164" s="5" t="s">
        <v>38</v>
      </c>
      <c r="B164" s="6" t="s">
        <v>39</v>
      </c>
      <c r="C164" s="6" t="s">
        <v>40</v>
      </c>
      <c r="D164" s="17" t="s">
        <v>358</v>
      </c>
      <c r="E164" s="6" t="s">
        <v>359</v>
      </c>
      <c r="F164" s="7">
        <v>1180</v>
      </c>
      <c r="G164" s="7">
        <v>1024</v>
      </c>
      <c r="H164" s="7">
        <v>2468</v>
      </c>
      <c r="I164" s="7">
        <v>56</v>
      </c>
      <c r="J164" s="7">
        <v>0</v>
      </c>
      <c r="K164" s="7">
        <v>0</v>
      </c>
      <c r="L164" s="7">
        <v>55.1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4783.1000000000004</v>
      </c>
      <c r="U164" s="7">
        <v>0</v>
      </c>
      <c r="V164" s="7">
        <v>57</v>
      </c>
      <c r="W164" s="7">
        <v>0</v>
      </c>
      <c r="X164" s="7">
        <v>22.04</v>
      </c>
      <c r="Y164" s="7">
        <v>6.87</v>
      </c>
      <c r="Z164" s="7">
        <v>5.9</v>
      </c>
      <c r="AA164" s="7">
        <v>0</v>
      </c>
      <c r="AB164" s="7">
        <v>0</v>
      </c>
      <c r="AC164" s="7">
        <v>0</v>
      </c>
      <c r="AD164" s="7">
        <v>0</v>
      </c>
      <c r="AE164" s="7">
        <v>977</v>
      </c>
      <c r="AF164" s="7">
        <v>0</v>
      </c>
      <c r="AG164" s="7">
        <v>0</v>
      </c>
      <c r="AH164" s="7">
        <v>1068.81</v>
      </c>
      <c r="AI164" s="7">
        <v>3714.52</v>
      </c>
      <c r="AJ164" s="7">
        <v>0.23</v>
      </c>
      <c r="AK164" s="7">
        <v>0.52</v>
      </c>
      <c r="AL164" s="8">
        <v>3714</v>
      </c>
      <c r="AM164" s="14">
        <f>VLOOKUP(D164,[1]财务部报表_有人事号!$A$2:$D$400,3,0)</f>
        <v>2300</v>
      </c>
      <c r="AN164" s="14">
        <f>VLOOKUP(D164,[1]财务部报表_有人事号!$A$2:$E$400,4,0)</f>
        <v>141.03</v>
      </c>
      <c r="AR164" t="str">
        <f>LOOKUP(D164,[2]contacts!$A$2:$A$400,[2]contacts!$G$2:$G$400)</f>
        <v>mak2654@163.com</v>
      </c>
    </row>
    <row r="165" spans="1:44">
      <c r="A165" s="5" t="s">
        <v>38</v>
      </c>
      <c r="B165" s="6" t="s">
        <v>39</v>
      </c>
      <c r="C165" s="6" t="s">
        <v>40</v>
      </c>
      <c r="D165" s="17" t="s">
        <v>360</v>
      </c>
      <c r="E165" s="6" t="s">
        <v>361</v>
      </c>
      <c r="F165" s="7">
        <v>1420</v>
      </c>
      <c r="G165" s="7">
        <v>1154</v>
      </c>
      <c r="H165" s="7">
        <v>2779</v>
      </c>
      <c r="I165" s="7">
        <v>56</v>
      </c>
      <c r="J165" s="7">
        <v>0</v>
      </c>
      <c r="K165" s="7">
        <v>0</v>
      </c>
      <c r="L165" s="7">
        <v>64.349999999999994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5473.35</v>
      </c>
      <c r="U165" s="7">
        <v>0</v>
      </c>
      <c r="V165" s="7">
        <v>148.19999999999999</v>
      </c>
      <c r="W165" s="7">
        <v>0</v>
      </c>
      <c r="X165" s="7">
        <v>25.74</v>
      </c>
      <c r="Y165" s="7">
        <v>23.05</v>
      </c>
      <c r="Z165" s="7">
        <v>7.1</v>
      </c>
      <c r="AA165" s="7">
        <v>0</v>
      </c>
      <c r="AB165" s="7">
        <v>0</v>
      </c>
      <c r="AC165" s="7">
        <v>0</v>
      </c>
      <c r="AD165" s="7">
        <v>0</v>
      </c>
      <c r="AE165" s="7">
        <v>1115</v>
      </c>
      <c r="AF165" s="7">
        <v>0</v>
      </c>
      <c r="AG165" s="7">
        <v>0</v>
      </c>
      <c r="AH165" s="7">
        <v>1319.09</v>
      </c>
      <c r="AI165" s="7">
        <v>4154.5</v>
      </c>
      <c r="AJ165" s="7">
        <v>0.24</v>
      </c>
      <c r="AK165" s="7">
        <v>0.5</v>
      </c>
      <c r="AL165" s="8">
        <v>4154</v>
      </c>
      <c r="AM165" s="14">
        <f>VLOOKUP(D165,[1]财务部报表_有人事号!$A$2:$D$400,3,0)</f>
        <v>3350</v>
      </c>
      <c r="AN165" s="14">
        <f>VLOOKUP(D165,[1]财务部报表_有人事号!$A$2:$E$400,4,0)</f>
        <v>283.77999999999997</v>
      </c>
      <c r="AR165" t="str">
        <f>LOOKUP(D165,[2]contacts!$A$2:$A$400,[2]contacts!$G$2:$G$400)</f>
        <v>zitang-shi@sohu.com</v>
      </c>
    </row>
    <row r="166" spans="1:44">
      <c r="A166" s="5" t="s">
        <v>38</v>
      </c>
      <c r="B166" s="6" t="s">
        <v>39</v>
      </c>
      <c r="C166" s="6" t="s">
        <v>40</v>
      </c>
      <c r="D166" s="17" t="s">
        <v>362</v>
      </c>
      <c r="E166" s="6" t="s">
        <v>363</v>
      </c>
      <c r="F166" s="7">
        <v>1180</v>
      </c>
      <c r="G166" s="7">
        <v>944</v>
      </c>
      <c r="H166" s="7">
        <v>2468</v>
      </c>
      <c r="I166" s="7">
        <v>56</v>
      </c>
      <c r="J166" s="7">
        <v>0</v>
      </c>
      <c r="K166" s="7">
        <v>0</v>
      </c>
      <c r="L166" s="7">
        <v>53.1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4701.1000000000004</v>
      </c>
      <c r="U166" s="7">
        <v>0</v>
      </c>
      <c r="V166" s="7">
        <v>123.5</v>
      </c>
      <c r="W166" s="7">
        <v>0</v>
      </c>
      <c r="X166" s="7">
        <v>21.24</v>
      </c>
      <c r="Y166" s="7">
        <v>5.09</v>
      </c>
      <c r="Z166" s="7">
        <v>5.9</v>
      </c>
      <c r="AA166" s="7">
        <v>0</v>
      </c>
      <c r="AB166" s="7">
        <v>0</v>
      </c>
      <c r="AC166" s="7">
        <v>0</v>
      </c>
      <c r="AD166" s="7">
        <v>0</v>
      </c>
      <c r="AE166" s="7">
        <v>957</v>
      </c>
      <c r="AF166" s="7">
        <v>0</v>
      </c>
      <c r="AG166" s="7">
        <v>0</v>
      </c>
      <c r="AH166" s="7">
        <v>1112.73</v>
      </c>
      <c r="AI166" s="7">
        <v>3589.3</v>
      </c>
      <c r="AJ166" s="7">
        <v>0.93</v>
      </c>
      <c r="AK166" s="7">
        <v>0.3</v>
      </c>
      <c r="AL166" s="8">
        <v>3589</v>
      </c>
      <c r="AM166" s="14">
        <f>VLOOKUP(D166,[1]财务部报表_有人事号!$A$2:$D$400,3,0)</f>
        <v>2300</v>
      </c>
      <c r="AN166" s="14">
        <f>VLOOKUP(D166,[1]财务部报表_有人事号!$A$2:$E$400,4,0)</f>
        <v>136.88999999999999</v>
      </c>
      <c r="AR166" t="str">
        <f>LOOKUP(D166,[2]contacts!$A$2:$A$400,[2]contacts!$G$2:$G$400)</f>
        <v>fzxia@whu.edu.cn</v>
      </c>
    </row>
    <row r="167" spans="1:44">
      <c r="A167" s="5" t="s">
        <v>38</v>
      </c>
      <c r="B167" s="6" t="s">
        <v>39</v>
      </c>
      <c r="C167" s="6" t="s">
        <v>40</v>
      </c>
      <c r="D167" s="17" t="s">
        <v>364</v>
      </c>
      <c r="E167" s="6" t="s">
        <v>365</v>
      </c>
      <c r="F167" s="7">
        <v>930</v>
      </c>
      <c r="G167" s="7">
        <v>767</v>
      </c>
      <c r="H167" s="7">
        <v>2376</v>
      </c>
      <c r="I167" s="7">
        <v>56</v>
      </c>
      <c r="J167" s="7">
        <v>0</v>
      </c>
      <c r="K167" s="7">
        <v>0</v>
      </c>
      <c r="L167" s="7">
        <v>42.43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4171.43</v>
      </c>
      <c r="U167" s="7">
        <v>0</v>
      </c>
      <c r="V167" s="7">
        <v>0</v>
      </c>
      <c r="W167" s="7">
        <v>0</v>
      </c>
      <c r="X167" s="7">
        <v>16.97</v>
      </c>
      <c r="Y167" s="7">
        <v>0</v>
      </c>
      <c r="Z167" s="7">
        <v>4.6500000000000004</v>
      </c>
      <c r="AA167" s="7">
        <v>0</v>
      </c>
      <c r="AB167" s="7">
        <v>0</v>
      </c>
      <c r="AC167" s="7">
        <v>0</v>
      </c>
      <c r="AD167" s="7">
        <v>0</v>
      </c>
      <c r="AE167" s="7">
        <v>835</v>
      </c>
      <c r="AF167" s="7">
        <v>0</v>
      </c>
      <c r="AG167" s="7">
        <v>0</v>
      </c>
      <c r="AH167" s="7">
        <v>856.62</v>
      </c>
      <c r="AI167" s="7">
        <v>3314.86</v>
      </c>
      <c r="AJ167" s="7">
        <v>0.05</v>
      </c>
      <c r="AK167" s="7">
        <v>0.86</v>
      </c>
      <c r="AL167" s="8">
        <v>3314</v>
      </c>
      <c r="AM167" s="14">
        <f>VLOOKUP(D167,[1]财务部报表_有人事号!$A$2:$D$400,3,0)</f>
        <v>1950</v>
      </c>
      <c r="AN167" s="14">
        <f>VLOOKUP(D167,[1]财务部报表_有人事号!$A$2:$E$400,4,0)</f>
        <v>67.7</v>
      </c>
      <c r="AR167" t="str">
        <f>LOOKUP(D167,[2]contacts!$A$2:$A$400,[2]contacts!$G$2:$G$400)</f>
        <v>txingcan@yahoo.com</v>
      </c>
    </row>
    <row r="168" spans="1:44">
      <c r="A168" s="5" t="s">
        <v>38</v>
      </c>
      <c r="B168" s="6" t="s">
        <v>39</v>
      </c>
      <c r="C168" s="6" t="s">
        <v>40</v>
      </c>
      <c r="D168" s="17" t="s">
        <v>366</v>
      </c>
      <c r="E168" s="6" t="s">
        <v>367</v>
      </c>
      <c r="F168" s="7">
        <v>780</v>
      </c>
      <c r="G168" s="7">
        <v>799</v>
      </c>
      <c r="H168" s="7">
        <v>2139</v>
      </c>
      <c r="I168" s="7">
        <v>56</v>
      </c>
      <c r="J168" s="7">
        <v>0</v>
      </c>
      <c r="K168" s="7">
        <v>0</v>
      </c>
      <c r="L168" s="7">
        <v>39.479999999999997</v>
      </c>
      <c r="M168" s="7">
        <v>0</v>
      </c>
      <c r="N168" s="7">
        <v>0</v>
      </c>
      <c r="O168" s="7">
        <v>0</v>
      </c>
      <c r="P168" s="7">
        <v>5</v>
      </c>
      <c r="Q168" s="7">
        <v>0</v>
      </c>
      <c r="R168" s="7">
        <v>0</v>
      </c>
      <c r="S168" s="7">
        <v>0</v>
      </c>
      <c r="T168" s="7">
        <v>3818.48</v>
      </c>
      <c r="U168" s="7">
        <v>0</v>
      </c>
      <c r="V168" s="7">
        <v>421.8</v>
      </c>
      <c r="W168" s="7">
        <v>27.37</v>
      </c>
      <c r="X168" s="7">
        <v>15.79</v>
      </c>
      <c r="Y168" s="7">
        <v>0</v>
      </c>
      <c r="Z168" s="7">
        <v>3.9</v>
      </c>
      <c r="AA168" s="7">
        <v>0</v>
      </c>
      <c r="AB168" s="7">
        <v>0</v>
      </c>
      <c r="AC168" s="7">
        <v>0</v>
      </c>
      <c r="AD168" s="7">
        <v>0</v>
      </c>
      <c r="AE168" s="7">
        <v>766</v>
      </c>
      <c r="AF168" s="7">
        <v>0</v>
      </c>
      <c r="AG168" s="7">
        <v>0</v>
      </c>
      <c r="AH168" s="7">
        <v>1234.8599999999999</v>
      </c>
      <c r="AI168" s="7">
        <v>2583.98</v>
      </c>
      <c r="AJ168" s="7">
        <v>0.36</v>
      </c>
      <c r="AK168" s="7">
        <v>0.98</v>
      </c>
      <c r="AL168" s="8">
        <v>2583</v>
      </c>
      <c r="AM168" s="14">
        <f>VLOOKUP(D168,[1]财务部报表_有人事号!$A$2:$D$400,3,0)</f>
        <v>1580</v>
      </c>
      <c r="AN168" s="14">
        <f>VLOOKUP(D168,[1]财务部报表_有人事号!$A$2:$E$400,4,0)</f>
        <v>32.17</v>
      </c>
      <c r="AR168" t="str">
        <f>LOOKUP(D168,[2]contacts!$A$2:$A$400,[2]contacts!$G$2:$G$400)</f>
        <v>mjc3742@sina.com.cn</v>
      </c>
    </row>
    <row r="169" spans="1:44">
      <c r="A169" s="5" t="s">
        <v>38</v>
      </c>
      <c r="B169" s="6" t="s">
        <v>39</v>
      </c>
      <c r="C169" s="6" t="s">
        <v>40</v>
      </c>
      <c r="D169" s="17" t="s">
        <v>368</v>
      </c>
      <c r="E169" s="6" t="s">
        <v>369</v>
      </c>
      <c r="F169" s="7">
        <v>930</v>
      </c>
      <c r="G169" s="7">
        <v>673</v>
      </c>
      <c r="H169" s="7">
        <v>2376</v>
      </c>
      <c r="I169" s="7">
        <v>56</v>
      </c>
      <c r="J169" s="7">
        <v>0</v>
      </c>
      <c r="K169" s="7">
        <v>0</v>
      </c>
      <c r="L169" s="7">
        <v>40.08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4075.08</v>
      </c>
      <c r="U169" s="7">
        <v>0</v>
      </c>
      <c r="V169" s="7">
        <v>218.5</v>
      </c>
      <c r="W169" s="7">
        <v>33.32</v>
      </c>
      <c r="X169" s="7">
        <v>16.03</v>
      </c>
      <c r="Y169" s="7">
        <v>0</v>
      </c>
      <c r="Z169" s="7">
        <v>4.6500000000000004</v>
      </c>
      <c r="AA169" s="7">
        <v>0</v>
      </c>
      <c r="AB169" s="7">
        <v>0</v>
      </c>
      <c r="AC169" s="7">
        <v>0</v>
      </c>
      <c r="AD169" s="7">
        <v>0</v>
      </c>
      <c r="AE169" s="7">
        <v>811</v>
      </c>
      <c r="AF169" s="7">
        <v>0</v>
      </c>
      <c r="AG169" s="7">
        <v>0</v>
      </c>
      <c r="AH169" s="7">
        <v>1083.5</v>
      </c>
      <c r="AI169" s="7">
        <v>2991.79</v>
      </c>
      <c r="AJ169" s="7">
        <v>0.21</v>
      </c>
      <c r="AK169" s="7">
        <v>0.79</v>
      </c>
      <c r="AL169" s="8">
        <v>2991</v>
      </c>
      <c r="AM169" s="14">
        <f>VLOOKUP(D169,[1]财务部报表_有人事号!$A$2:$D$400,3,0)</f>
        <v>1950</v>
      </c>
      <c r="AN169" s="14">
        <f>VLOOKUP(D169,[1]财务部报表_有人事号!$A$2:$E$400,4,0)</f>
        <v>60.8</v>
      </c>
      <c r="AR169" t="str">
        <f>LOOKUP(D169,[2]contacts!$A$2:$A$400,[2]contacts!$G$2:$G$400)</f>
        <v>zhang_jsg@163.com</v>
      </c>
    </row>
    <row r="170" spans="1:44">
      <c r="A170" s="5" t="s">
        <v>38</v>
      </c>
      <c r="B170" s="6" t="s">
        <v>39</v>
      </c>
      <c r="C170" s="6" t="s">
        <v>40</v>
      </c>
      <c r="D170" s="17" t="s">
        <v>370</v>
      </c>
      <c r="E170" s="6" t="s">
        <v>371</v>
      </c>
      <c r="F170" s="7">
        <v>1040</v>
      </c>
      <c r="G170" s="7">
        <v>673</v>
      </c>
      <c r="H170" s="7">
        <v>2413</v>
      </c>
      <c r="I170" s="7">
        <v>56</v>
      </c>
      <c r="J170" s="7">
        <v>0</v>
      </c>
      <c r="K170" s="7">
        <v>0</v>
      </c>
      <c r="L170" s="7">
        <v>42.83</v>
      </c>
      <c r="M170" s="7">
        <v>0</v>
      </c>
      <c r="N170" s="7">
        <v>0</v>
      </c>
      <c r="O170" s="7">
        <v>0</v>
      </c>
      <c r="P170" s="7">
        <v>5</v>
      </c>
      <c r="Q170" s="7">
        <v>0</v>
      </c>
      <c r="R170" s="7">
        <v>0</v>
      </c>
      <c r="S170" s="7">
        <v>0</v>
      </c>
      <c r="T170" s="7">
        <v>4229.83</v>
      </c>
      <c r="U170" s="7">
        <v>0</v>
      </c>
      <c r="V170" s="7">
        <v>986.1</v>
      </c>
      <c r="W170" s="7">
        <v>21.42</v>
      </c>
      <c r="X170" s="7">
        <v>17.13</v>
      </c>
      <c r="Y170" s="7">
        <v>0</v>
      </c>
      <c r="Z170" s="7">
        <v>5.2</v>
      </c>
      <c r="AA170" s="7">
        <v>0</v>
      </c>
      <c r="AB170" s="7">
        <v>0</v>
      </c>
      <c r="AC170" s="7">
        <v>0</v>
      </c>
      <c r="AD170" s="7">
        <v>0</v>
      </c>
      <c r="AE170" s="7">
        <v>845</v>
      </c>
      <c r="AF170" s="7">
        <v>0</v>
      </c>
      <c r="AG170" s="7">
        <v>0</v>
      </c>
      <c r="AH170" s="7">
        <v>1874.85</v>
      </c>
      <c r="AI170" s="7">
        <v>2355.79</v>
      </c>
      <c r="AJ170" s="7">
        <v>0.81</v>
      </c>
      <c r="AK170" s="7">
        <v>0.79</v>
      </c>
      <c r="AL170" s="8">
        <v>2355</v>
      </c>
      <c r="AM170" s="14">
        <f>VLOOKUP(D170,[1]财务部报表_有人事号!$A$2:$D$400,3,0)</f>
        <v>2100</v>
      </c>
      <c r="AN170" s="14">
        <f>VLOOKUP(D170,[1]财务部报表_有人事号!$A$2:$E$400,4,0)</f>
        <v>86.99</v>
      </c>
      <c r="AR170" t="str">
        <f>LOOKUP(D170,[2]contacts!$A$2:$A$400,[2]contacts!$G$2:$G$400)</f>
        <v>fcyfcywhu@163.com</v>
      </c>
    </row>
    <row r="171" spans="1:44">
      <c r="A171" s="5" t="s">
        <v>38</v>
      </c>
      <c r="B171" s="6" t="s">
        <v>39</v>
      </c>
      <c r="C171" s="6" t="s">
        <v>40</v>
      </c>
      <c r="D171" s="17" t="s">
        <v>372</v>
      </c>
      <c r="E171" s="6" t="s">
        <v>373</v>
      </c>
      <c r="F171" s="7">
        <v>730</v>
      </c>
      <c r="G171" s="7">
        <v>527</v>
      </c>
      <c r="H171" s="7">
        <v>2102</v>
      </c>
      <c r="I171" s="7">
        <v>56</v>
      </c>
      <c r="J171" s="7">
        <v>20</v>
      </c>
      <c r="K171" s="7">
        <v>0</v>
      </c>
      <c r="L171" s="7">
        <v>31.43</v>
      </c>
      <c r="M171" s="7">
        <v>0</v>
      </c>
      <c r="N171" s="7">
        <v>0</v>
      </c>
      <c r="O171" s="7">
        <v>0</v>
      </c>
      <c r="P171" s="7">
        <v>5</v>
      </c>
      <c r="Q171" s="7">
        <v>0</v>
      </c>
      <c r="R171" s="7">
        <v>0</v>
      </c>
      <c r="S171" s="7">
        <v>0</v>
      </c>
      <c r="T171" s="7">
        <v>3471.43</v>
      </c>
      <c r="U171" s="7">
        <v>0</v>
      </c>
      <c r="V171" s="7">
        <v>60.8</v>
      </c>
      <c r="W171" s="7">
        <v>61.28</v>
      </c>
      <c r="X171" s="7">
        <v>12.57</v>
      </c>
      <c r="Y171" s="7">
        <v>0</v>
      </c>
      <c r="Z171" s="7">
        <v>3.65</v>
      </c>
      <c r="AA171" s="7">
        <v>0</v>
      </c>
      <c r="AB171" s="7">
        <v>0</v>
      </c>
      <c r="AC171" s="7">
        <v>0</v>
      </c>
      <c r="AD171" s="7">
        <v>0</v>
      </c>
      <c r="AE171" s="7">
        <v>679</v>
      </c>
      <c r="AF171" s="7">
        <v>0</v>
      </c>
      <c r="AG171" s="7">
        <v>0</v>
      </c>
      <c r="AH171" s="7">
        <v>817.3</v>
      </c>
      <c r="AI171" s="7">
        <v>2654.52</v>
      </c>
      <c r="AJ171" s="7">
        <v>0.39</v>
      </c>
      <c r="AK171" s="7">
        <v>0.52</v>
      </c>
      <c r="AL171" s="8">
        <v>2654</v>
      </c>
      <c r="AM171" s="14">
        <f>VLOOKUP(D171,[1]财务部报表_有人事号!$A$2:$D$400,3,0)</f>
        <v>1430</v>
      </c>
      <c r="AN171" s="14">
        <f>VLOOKUP(D171,[1]财务部报表_有人事号!$A$2:$E$400,4,0)</f>
        <v>20.2</v>
      </c>
      <c r="AR171" t="str">
        <f>LOOKUP(D171,[2]contacts!$A$2:$A$400,[2]contacts!$G$2:$G$400)</f>
        <v>hdi@whu.edu.cn</v>
      </c>
    </row>
    <row r="172" spans="1:44">
      <c r="A172" s="5" t="s">
        <v>38</v>
      </c>
      <c r="B172" s="6" t="s">
        <v>39</v>
      </c>
      <c r="C172" s="6" t="s">
        <v>40</v>
      </c>
      <c r="D172" s="17" t="s">
        <v>374</v>
      </c>
      <c r="E172" s="6" t="s">
        <v>375</v>
      </c>
      <c r="F172" s="7">
        <v>1420</v>
      </c>
      <c r="G172" s="7">
        <v>583</v>
      </c>
      <c r="H172" s="7">
        <v>2779</v>
      </c>
      <c r="I172" s="7">
        <v>56</v>
      </c>
      <c r="J172" s="7">
        <v>0</v>
      </c>
      <c r="K172" s="7">
        <v>0</v>
      </c>
      <c r="L172" s="7">
        <v>50.08</v>
      </c>
      <c r="M172" s="7">
        <v>0</v>
      </c>
      <c r="N172" s="7">
        <v>0</v>
      </c>
      <c r="O172" s="7">
        <v>0</v>
      </c>
      <c r="P172" s="7">
        <v>5</v>
      </c>
      <c r="Q172" s="7">
        <v>0</v>
      </c>
      <c r="R172" s="7">
        <v>0</v>
      </c>
      <c r="S172" s="7">
        <v>0</v>
      </c>
      <c r="T172" s="7">
        <v>4893.08</v>
      </c>
      <c r="U172" s="7">
        <v>81</v>
      </c>
      <c r="V172" s="7">
        <v>0</v>
      </c>
      <c r="W172" s="7">
        <v>0</v>
      </c>
      <c r="X172" s="7">
        <v>20.03</v>
      </c>
      <c r="Y172" s="7">
        <v>10.38</v>
      </c>
      <c r="Z172" s="7">
        <v>7.1</v>
      </c>
      <c r="AA172" s="7">
        <v>0</v>
      </c>
      <c r="AB172" s="7">
        <v>0</v>
      </c>
      <c r="AC172" s="7">
        <v>0</v>
      </c>
      <c r="AD172" s="7">
        <v>0</v>
      </c>
      <c r="AE172" s="7">
        <v>972</v>
      </c>
      <c r="AF172" s="7">
        <v>0</v>
      </c>
      <c r="AG172" s="7">
        <v>0</v>
      </c>
      <c r="AH172" s="7">
        <v>1090.51</v>
      </c>
      <c r="AI172" s="7">
        <v>3803.35</v>
      </c>
      <c r="AJ172" s="7">
        <v>0.78</v>
      </c>
      <c r="AK172" s="7">
        <v>0.35</v>
      </c>
      <c r="AL172" s="8">
        <v>3803</v>
      </c>
      <c r="AM172" s="14">
        <f>VLOOKUP(D172,[1]财务部报表_有人事号!$A$2:$D$400,3,0)</f>
        <v>3350</v>
      </c>
      <c r="AN172" s="14">
        <f>VLOOKUP(D172,[1]财务部报表_有人事号!$A$2:$E$400,4,0)</f>
        <v>254.22000000000003</v>
      </c>
      <c r="AR172" t="str">
        <f>LOOKUP(D172,[2]contacts!$A$2:$A$400,[2]contacts!$G$2:$G$400)</f>
        <v>zlpwhu@sina.com.cn</v>
      </c>
    </row>
    <row r="173" spans="1:44">
      <c r="A173" s="5" t="s">
        <v>38</v>
      </c>
      <c r="B173" s="6" t="s">
        <v>39</v>
      </c>
      <c r="C173" s="6" t="s">
        <v>40</v>
      </c>
      <c r="D173" s="17" t="s">
        <v>376</v>
      </c>
      <c r="E173" s="6" t="s">
        <v>377</v>
      </c>
      <c r="F173" s="7">
        <v>1630</v>
      </c>
      <c r="G173" s="7">
        <v>767</v>
      </c>
      <c r="H173" s="7">
        <v>2961</v>
      </c>
      <c r="I173" s="7">
        <v>56</v>
      </c>
      <c r="J173" s="7">
        <v>0</v>
      </c>
      <c r="K173" s="7">
        <v>0</v>
      </c>
      <c r="L173" s="7">
        <v>59.93</v>
      </c>
      <c r="M173" s="7">
        <v>0</v>
      </c>
      <c r="N173" s="7">
        <v>0</v>
      </c>
      <c r="O173" s="7">
        <v>0</v>
      </c>
      <c r="P173" s="7">
        <v>5</v>
      </c>
      <c r="Q173" s="7">
        <v>0</v>
      </c>
      <c r="R173" s="7">
        <v>0</v>
      </c>
      <c r="S173" s="7">
        <v>0</v>
      </c>
      <c r="T173" s="7">
        <v>5478.93</v>
      </c>
      <c r="U173" s="7">
        <v>0</v>
      </c>
      <c r="V173" s="7">
        <v>0</v>
      </c>
      <c r="W173" s="7">
        <v>0</v>
      </c>
      <c r="X173" s="7">
        <v>23.97</v>
      </c>
      <c r="Y173" s="7">
        <v>23.49</v>
      </c>
      <c r="Z173" s="7">
        <v>8.15</v>
      </c>
      <c r="AA173" s="7">
        <v>0</v>
      </c>
      <c r="AB173" s="7">
        <v>0</v>
      </c>
      <c r="AC173" s="7">
        <v>0</v>
      </c>
      <c r="AD173" s="7">
        <v>0</v>
      </c>
      <c r="AE173" s="7">
        <v>1107</v>
      </c>
      <c r="AF173" s="7">
        <v>0</v>
      </c>
      <c r="AG173" s="7">
        <v>0</v>
      </c>
      <c r="AH173" s="7">
        <v>1162.6099999999999</v>
      </c>
      <c r="AI173" s="7">
        <v>4316.51</v>
      </c>
      <c r="AJ173" s="7">
        <v>0.19</v>
      </c>
      <c r="AK173" s="7">
        <v>0.51</v>
      </c>
      <c r="AL173" s="8">
        <v>4316</v>
      </c>
      <c r="AM173" s="14">
        <f>VLOOKUP(D173,[1]财务部报表_有人事号!$A$2:$D$400,3,0)</f>
        <v>9900</v>
      </c>
      <c r="AN173" s="14">
        <f>VLOOKUP(D173,[1]财务部报表_有人事号!$A$2:$E$400,4,0)</f>
        <v>1642.27</v>
      </c>
      <c r="AR173" t="str">
        <f>LOOKUP(D173,[2]contacts!$A$2:$A$400,[2]contacts!$G$2:$G$400)</f>
        <v>xionglh@whu.edu.cn</v>
      </c>
    </row>
    <row r="174" spans="1:44">
      <c r="A174" s="5" t="s">
        <v>38</v>
      </c>
      <c r="B174" s="6" t="s">
        <v>39</v>
      </c>
      <c r="C174" s="6" t="s">
        <v>40</v>
      </c>
      <c r="D174" s="17" t="s">
        <v>378</v>
      </c>
      <c r="E174" s="6" t="s">
        <v>379</v>
      </c>
      <c r="F174" s="7">
        <v>1900</v>
      </c>
      <c r="G174" s="7">
        <v>1590</v>
      </c>
      <c r="H174" s="7">
        <v>3108</v>
      </c>
      <c r="I174" s="7">
        <v>56</v>
      </c>
      <c r="J174" s="7">
        <v>0</v>
      </c>
      <c r="K174" s="7">
        <v>0</v>
      </c>
      <c r="L174" s="7">
        <v>87.25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6741.25</v>
      </c>
      <c r="U174" s="7">
        <v>0</v>
      </c>
      <c r="V174" s="7">
        <v>0</v>
      </c>
      <c r="W174" s="7">
        <v>0</v>
      </c>
      <c r="X174" s="7">
        <v>34.9</v>
      </c>
      <c r="Y174" s="7">
        <v>70.010000000000005</v>
      </c>
      <c r="Z174" s="7">
        <v>9.5</v>
      </c>
      <c r="AA174" s="7">
        <v>0</v>
      </c>
      <c r="AB174" s="7">
        <v>0</v>
      </c>
      <c r="AC174" s="7">
        <v>0</v>
      </c>
      <c r="AD174" s="7">
        <v>0</v>
      </c>
      <c r="AE174" s="7">
        <v>1369</v>
      </c>
      <c r="AF174" s="7">
        <v>0</v>
      </c>
      <c r="AG174" s="7">
        <v>0</v>
      </c>
      <c r="AH174" s="7">
        <v>1483.41</v>
      </c>
      <c r="AI174" s="7">
        <v>5258.82</v>
      </c>
      <c r="AJ174" s="7">
        <v>0.98</v>
      </c>
      <c r="AK174" s="7">
        <v>0.82</v>
      </c>
      <c r="AL174" s="8">
        <v>5258</v>
      </c>
      <c r="AM174" s="14">
        <f>VLOOKUP(D174,[1]财务部报表_有人事号!$A$2:$D$400,3,0)</f>
        <v>7500</v>
      </c>
      <c r="AN174" s="14">
        <f>VLOOKUP(D174,[1]财务部报表_有人事号!$A$2:$E$400,4,0)</f>
        <v>1237.52</v>
      </c>
      <c r="AR174" t="str">
        <f>LOOKUP(D174,[2]contacts!$A$2:$A$400,[2]contacts!$G$2:$G$400)</f>
        <v>xiaj@igsnrr.ac.cn</v>
      </c>
    </row>
    <row r="175" spans="1:44">
      <c r="A175" s="5" t="s">
        <v>38</v>
      </c>
      <c r="B175" s="6" t="s">
        <v>39</v>
      </c>
      <c r="C175" s="6" t="s">
        <v>40</v>
      </c>
      <c r="D175" s="17" t="s">
        <v>380</v>
      </c>
      <c r="E175" s="6" t="s">
        <v>381</v>
      </c>
      <c r="F175" s="7">
        <v>1630</v>
      </c>
      <c r="G175" s="7">
        <v>1384</v>
      </c>
      <c r="H175" s="7">
        <v>2961</v>
      </c>
      <c r="I175" s="7">
        <v>56</v>
      </c>
      <c r="J175" s="7">
        <v>0</v>
      </c>
      <c r="K175" s="7">
        <v>0</v>
      </c>
      <c r="L175" s="7">
        <v>75.349999999999994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6106.35</v>
      </c>
      <c r="U175" s="7">
        <v>0</v>
      </c>
      <c r="V175" s="7">
        <v>28.5</v>
      </c>
      <c r="W175" s="7">
        <v>114.24</v>
      </c>
      <c r="X175" s="7">
        <v>30.14</v>
      </c>
      <c r="Y175" s="7">
        <v>37.17</v>
      </c>
      <c r="Z175" s="7">
        <v>8.15</v>
      </c>
      <c r="AA175" s="7">
        <v>0</v>
      </c>
      <c r="AB175" s="7">
        <v>0</v>
      </c>
      <c r="AC175" s="7">
        <v>0</v>
      </c>
      <c r="AD175" s="7">
        <v>0</v>
      </c>
      <c r="AE175" s="7">
        <v>1262</v>
      </c>
      <c r="AF175" s="7">
        <v>0</v>
      </c>
      <c r="AG175" s="7">
        <v>0</v>
      </c>
      <c r="AH175" s="7">
        <v>1480.2</v>
      </c>
      <c r="AI175" s="7">
        <v>4626.55</v>
      </c>
      <c r="AJ175" s="7">
        <v>0.4</v>
      </c>
      <c r="AK175" s="7">
        <v>0.55000000000000004</v>
      </c>
      <c r="AL175" s="8">
        <v>4626</v>
      </c>
      <c r="AM175" s="14">
        <f>VLOOKUP(D175,[1]财务部报表_有人事号!$A$2:$D$400,3,0)</f>
        <v>4150</v>
      </c>
      <c r="AN175" s="14">
        <f>VLOOKUP(D175,[1]财务部报表_有人事号!$A$2:$E$400,4,0)</f>
        <v>485.59999999999997</v>
      </c>
      <c r="AR175" t="str">
        <f>LOOKUP(D175,[2]contacts!$A$2:$A$400,[2]contacts!$G$2:$G$400)</f>
        <v>songxy@whu.edu.cn</v>
      </c>
    </row>
    <row r="176" spans="1:44">
      <c r="A176" s="5" t="s">
        <v>38</v>
      </c>
      <c r="B176" s="6" t="s">
        <v>39</v>
      </c>
      <c r="C176" s="6" t="s">
        <v>40</v>
      </c>
      <c r="D176" s="17" t="s">
        <v>382</v>
      </c>
      <c r="E176" s="6" t="s">
        <v>383</v>
      </c>
      <c r="F176" s="7">
        <v>1630</v>
      </c>
      <c r="G176" s="7">
        <v>1289</v>
      </c>
      <c r="H176" s="7">
        <v>2961</v>
      </c>
      <c r="I176" s="7">
        <v>56</v>
      </c>
      <c r="J176" s="7">
        <v>20</v>
      </c>
      <c r="K176" s="7">
        <v>0</v>
      </c>
      <c r="L176" s="7">
        <v>72.98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6028.98</v>
      </c>
      <c r="U176" s="7">
        <v>0</v>
      </c>
      <c r="V176" s="7">
        <v>22.8</v>
      </c>
      <c r="W176" s="7">
        <v>162.44</v>
      </c>
      <c r="X176" s="7">
        <v>29.19</v>
      </c>
      <c r="Y176" s="7">
        <v>35.659999999999997</v>
      </c>
      <c r="Z176" s="7">
        <v>8.15</v>
      </c>
      <c r="AA176" s="7">
        <v>0</v>
      </c>
      <c r="AB176" s="7">
        <v>0</v>
      </c>
      <c r="AC176" s="7">
        <v>0</v>
      </c>
      <c r="AD176" s="7">
        <v>0</v>
      </c>
      <c r="AE176" s="7">
        <v>1238</v>
      </c>
      <c r="AF176" s="7">
        <v>0</v>
      </c>
      <c r="AG176" s="7">
        <v>0</v>
      </c>
      <c r="AH176" s="7">
        <v>1496.24</v>
      </c>
      <c r="AI176" s="7">
        <v>4533.29</v>
      </c>
      <c r="AJ176" s="7">
        <v>0.55000000000000004</v>
      </c>
      <c r="AK176" s="7">
        <v>0.28999999999999998</v>
      </c>
      <c r="AL176" s="8">
        <v>4533</v>
      </c>
      <c r="AM176" s="14">
        <f>VLOOKUP(D176,[1]财务部报表_有人事号!$A$2:$D$400,3,0)</f>
        <v>4150</v>
      </c>
      <c r="AN176" s="14">
        <f>VLOOKUP(D176,[1]财务部报表_有人事号!$A$2:$E$400,4,0)</f>
        <v>477.1</v>
      </c>
      <c r="AR176" t="str">
        <f>LOOKUP(D176,[2]contacts!$A$2:$A$400,[2]contacts!$G$2:$G$400)</f>
        <v>lilan@whu.edu.cn</v>
      </c>
    </row>
    <row r="177" spans="1:44">
      <c r="A177" s="5" t="s">
        <v>38</v>
      </c>
      <c r="B177" s="6" t="s">
        <v>39</v>
      </c>
      <c r="C177" s="6" t="s">
        <v>40</v>
      </c>
      <c r="D177" s="17" t="s">
        <v>384</v>
      </c>
      <c r="E177" s="6" t="s">
        <v>385</v>
      </c>
      <c r="F177" s="7">
        <v>1420</v>
      </c>
      <c r="G177" s="7">
        <v>1064</v>
      </c>
      <c r="H177" s="7">
        <v>2779</v>
      </c>
      <c r="I177" s="7">
        <v>56</v>
      </c>
      <c r="J177" s="7">
        <v>0</v>
      </c>
      <c r="K177" s="7">
        <v>0</v>
      </c>
      <c r="L177" s="7">
        <v>62.1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5381.1</v>
      </c>
      <c r="U177" s="7">
        <v>0</v>
      </c>
      <c r="V177" s="7">
        <v>148.19999999999999</v>
      </c>
      <c r="W177" s="7">
        <v>45.22</v>
      </c>
      <c r="X177" s="7">
        <v>24.84</v>
      </c>
      <c r="Y177" s="7">
        <v>21.03</v>
      </c>
      <c r="Z177" s="7">
        <v>7.1</v>
      </c>
      <c r="AA177" s="7">
        <v>0</v>
      </c>
      <c r="AB177" s="7">
        <v>0</v>
      </c>
      <c r="AC177" s="7">
        <v>0</v>
      </c>
      <c r="AD177" s="7">
        <v>0</v>
      </c>
      <c r="AE177" s="7">
        <v>1093</v>
      </c>
      <c r="AF177" s="7">
        <v>0</v>
      </c>
      <c r="AG177" s="7">
        <v>0</v>
      </c>
      <c r="AH177" s="7">
        <v>1339.39</v>
      </c>
      <c r="AI177" s="7">
        <v>4042.18</v>
      </c>
      <c r="AJ177" s="7">
        <v>0.47</v>
      </c>
      <c r="AK177" s="7">
        <v>0.18</v>
      </c>
      <c r="AL177" s="8">
        <v>4042</v>
      </c>
      <c r="AM177" s="14">
        <f>VLOOKUP(D177,[1]财务部报表_有人事号!$A$2:$D$400,3,0)</f>
        <v>3350</v>
      </c>
      <c r="AN177" s="14">
        <f>VLOOKUP(D177,[1]财务部报表_有人事号!$A$2:$E$400,4,0)</f>
        <v>279.09000000000003</v>
      </c>
      <c r="AR177" t="str">
        <f>LOOKUP(D177,[2]contacts!$A$2:$A$400,[2]contacts!$G$2:$G$400)</f>
        <v>pxie@whu.edu.cn</v>
      </c>
    </row>
    <row r="178" spans="1:44">
      <c r="A178" s="5" t="s">
        <v>38</v>
      </c>
      <c r="B178" s="6" t="s">
        <v>39</v>
      </c>
      <c r="C178" s="6" t="s">
        <v>40</v>
      </c>
      <c r="D178" s="17" t="s">
        <v>386</v>
      </c>
      <c r="E178" s="6" t="s">
        <v>387</v>
      </c>
      <c r="F178" s="7">
        <v>730</v>
      </c>
      <c r="G178" s="7">
        <v>703</v>
      </c>
      <c r="H178" s="7">
        <v>2102</v>
      </c>
      <c r="I178" s="7">
        <v>56</v>
      </c>
      <c r="J178" s="7">
        <v>0</v>
      </c>
      <c r="K178" s="7">
        <v>0</v>
      </c>
      <c r="L178" s="7">
        <v>35.83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3626.83</v>
      </c>
      <c r="U178" s="7">
        <v>0</v>
      </c>
      <c r="V178" s="7">
        <v>20.9</v>
      </c>
      <c r="W178" s="7">
        <v>28.56</v>
      </c>
      <c r="X178" s="7">
        <v>14.33</v>
      </c>
      <c r="Y178" s="7">
        <v>0</v>
      </c>
      <c r="Z178" s="7">
        <v>3.65</v>
      </c>
      <c r="AA178" s="7">
        <v>0</v>
      </c>
      <c r="AB178" s="7">
        <v>0</v>
      </c>
      <c r="AC178" s="7">
        <v>0</v>
      </c>
      <c r="AD178" s="7">
        <v>0</v>
      </c>
      <c r="AE178" s="7">
        <v>723</v>
      </c>
      <c r="AF178" s="7">
        <v>0</v>
      </c>
      <c r="AG178" s="7">
        <v>0</v>
      </c>
      <c r="AH178" s="7">
        <v>790.44</v>
      </c>
      <c r="AI178" s="7">
        <v>2836.74</v>
      </c>
      <c r="AJ178" s="7">
        <v>0.35</v>
      </c>
      <c r="AK178" s="7">
        <v>0.74</v>
      </c>
      <c r="AL178" s="8">
        <v>2836</v>
      </c>
      <c r="AM178" s="14">
        <f>VLOOKUP(D178,[1]财务部报表_有人事号!$A$2:$D$400,3,0)</f>
        <v>1430</v>
      </c>
      <c r="AN178" s="14">
        <f>VLOOKUP(D178,[1]财务部报表_有人事号!$A$2:$E$400,4,0)</f>
        <v>23.51</v>
      </c>
      <c r="AR178" t="str">
        <f>LOOKUP(D178,[2]contacts!$A$2:$A$400,[2]contacts!$G$2:$G$400)</f>
        <v>00011629@whu.edu.cn</v>
      </c>
    </row>
    <row r="179" spans="1:44">
      <c r="A179" s="5" t="s">
        <v>38</v>
      </c>
      <c r="B179" s="6" t="s">
        <v>39</v>
      </c>
      <c r="C179" s="6" t="s">
        <v>40</v>
      </c>
      <c r="D179" s="17" t="s">
        <v>388</v>
      </c>
      <c r="E179" s="6" t="s">
        <v>389</v>
      </c>
      <c r="F179" s="7">
        <v>1040</v>
      </c>
      <c r="G179" s="7">
        <v>834</v>
      </c>
      <c r="H179" s="7">
        <v>2413</v>
      </c>
      <c r="I179" s="7">
        <v>56</v>
      </c>
      <c r="J179" s="7">
        <v>20</v>
      </c>
      <c r="K179" s="7">
        <v>0</v>
      </c>
      <c r="L179" s="7">
        <v>46.85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4409.8500000000004</v>
      </c>
      <c r="U179" s="7">
        <v>0</v>
      </c>
      <c r="V179" s="7">
        <v>28.5</v>
      </c>
      <c r="W179" s="7">
        <v>11.9</v>
      </c>
      <c r="X179" s="7">
        <v>18.739999999999998</v>
      </c>
      <c r="Y179" s="7">
        <v>0</v>
      </c>
      <c r="Z179" s="7">
        <v>5.2</v>
      </c>
      <c r="AA179" s="7">
        <v>0</v>
      </c>
      <c r="AB179" s="7">
        <v>0</v>
      </c>
      <c r="AC179" s="7">
        <v>0</v>
      </c>
      <c r="AD179" s="7">
        <v>0</v>
      </c>
      <c r="AE179" s="7">
        <v>885</v>
      </c>
      <c r="AF179" s="7">
        <v>0</v>
      </c>
      <c r="AG179" s="7">
        <v>0</v>
      </c>
      <c r="AH179" s="7">
        <v>949.34</v>
      </c>
      <c r="AI179" s="7">
        <v>3460.73</v>
      </c>
      <c r="AJ179" s="7">
        <v>0.22</v>
      </c>
      <c r="AK179" s="7">
        <v>0.73</v>
      </c>
      <c r="AL179" s="8">
        <v>3460</v>
      </c>
      <c r="AM179" s="14">
        <f>VLOOKUP(D179,[1]财务部报表_有人事号!$A$2:$D$400,3,0)</f>
        <v>2100</v>
      </c>
      <c r="AN179" s="14">
        <f>VLOOKUP(D179,[1]财务部报表_有人事号!$A$2:$E$400,4,0)</f>
        <v>100.93</v>
      </c>
      <c r="AR179" t="str">
        <f>LOOKUP(D179,[2]contacts!$A$2:$A$400,[2]contacts!$G$2:$G$400)</f>
        <v>ymxiao@163.com</v>
      </c>
    </row>
    <row r="180" spans="1:44">
      <c r="A180" s="5" t="s">
        <v>38</v>
      </c>
      <c r="B180" s="6" t="s">
        <v>39</v>
      </c>
      <c r="C180" s="6" t="s">
        <v>40</v>
      </c>
      <c r="D180" s="17" t="s">
        <v>390</v>
      </c>
      <c r="E180" s="6" t="s">
        <v>391</v>
      </c>
      <c r="F180" s="7">
        <v>1040</v>
      </c>
      <c r="G180" s="7">
        <v>673</v>
      </c>
      <c r="H180" s="7">
        <v>2413</v>
      </c>
      <c r="I180" s="7">
        <v>56</v>
      </c>
      <c r="J180" s="7">
        <v>20</v>
      </c>
      <c r="K180" s="7">
        <v>0</v>
      </c>
      <c r="L180" s="7">
        <v>42.83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4244.83</v>
      </c>
      <c r="U180" s="7">
        <v>0</v>
      </c>
      <c r="V180" s="7">
        <v>0</v>
      </c>
      <c r="W180" s="7">
        <v>0</v>
      </c>
      <c r="X180" s="7">
        <v>17.13</v>
      </c>
      <c r="Y180" s="7">
        <v>0</v>
      </c>
      <c r="Z180" s="7">
        <v>5.2</v>
      </c>
      <c r="AA180" s="7">
        <v>0</v>
      </c>
      <c r="AB180" s="7">
        <v>0</v>
      </c>
      <c r="AC180" s="7">
        <v>0</v>
      </c>
      <c r="AD180" s="7">
        <v>0</v>
      </c>
      <c r="AE180" s="7">
        <v>845</v>
      </c>
      <c r="AF180" s="7">
        <v>0</v>
      </c>
      <c r="AG180" s="7">
        <v>0</v>
      </c>
      <c r="AH180" s="7">
        <v>867.33</v>
      </c>
      <c r="AI180" s="7">
        <v>3377.57</v>
      </c>
      <c r="AJ180" s="7">
        <v>7.0000000000000007E-2</v>
      </c>
      <c r="AK180" s="7">
        <v>0.56999999999999995</v>
      </c>
      <c r="AL180" s="8">
        <v>3377</v>
      </c>
      <c r="AM180" s="14">
        <f>VLOOKUP(D180,[1]财务部报表_有人事号!$A$2:$D$400,3,0)</f>
        <v>2100</v>
      </c>
      <c r="AN180" s="14">
        <f>VLOOKUP(D180,[1]财务部报表_有人事号!$A$2:$E$400,4,0)</f>
        <v>88.99</v>
      </c>
      <c r="AR180" t="str">
        <f>LOOKUP(D180,[2]contacts!$A$2:$A$400,[2]contacts!$G$2:$G$400)</f>
        <v>hongpeng@whu.edu.cn</v>
      </c>
    </row>
    <row r="181" spans="1:44">
      <c r="A181" s="5" t="s">
        <v>38</v>
      </c>
      <c r="B181" s="6" t="s">
        <v>39</v>
      </c>
      <c r="C181" s="6" t="s">
        <v>40</v>
      </c>
      <c r="D181" s="17" t="s">
        <v>392</v>
      </c>
      <c r="E181" s="6" t="s">
        <v>393</v>
      </c>
      <c r="F181" s="7">
        <v>1420</v>
      </c>
      <c r="G181" s="7">
        <v>735</v>
      </c>
      <c r="H181" s="7">
        <v>2779</v>
      </c>
      <c r="I181" s="7">
        <v>56</v>
      </c>
      <c r="J181" s="7">
        <v>0</v>
      </c>
      <c r="K181" s="7">
        <v>0</v>
      </c>
      <c r="L181" s="7">
        <v>53.88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5043.88</v>
      </c>
      <c r="U181" s="7">
        <v>0</v>
      </c>
      <c r="V181" s="7">
        <v>313.5</v>
      </c>
      <c r="W181" s="7">
        <v>106.5</v>
      </c>
      <c r="X181" s="7">
        <v>21.55</v>
      </c>
      <c r="Y181" s="7">
        <v>13.75</v>
      </c>
      <c r="Z181" s="7">
        <v>7.1</v>
      </c>
      <c r="AA181" s="7">
        <v>0</v>
      </c>
      <c r="AB181" s="7">
        <v>0</v>
      </c>
      <c r="AC181" s="7">
        <v>0</v>
      </c>
      <c r="AD181" s="7">
        <v>0</v>
      </c>
      <c r="AE181" s="7">
        <v>1010</v>
      </c>
      <c r="AF181" s="7">
        <v>0</v>
      </c>
      <c r="AG181" s="7">
        <v>0</v>
      </c>
      <c r="AH181" s="7">
        <v>1472.4</v>
      </c>
      <c r="AI181" s="7">
        <v>3572.21</v>
      </c>
      <c r="AJ181" s="7">
        <v>0.73</v>
      </c>
      <c r="AK181" s="7">
        <v>0.21</v>
      </c>
      <c r="AL181" s="8">
        <v>3572</v>
      </c>
      <c r="AM181" s="14">
        <f>VLOOKUP(D181,[1]财务部报表_有人事号!$A$2:$D$400,3,0)</f>
        <v>3350</v>
      </c>
      <c r="AN181" s="14">
        <f>VLOOKUP(D181,[1]财务部报表_有人事号!$A$2:$E$400,4,0)</f>
        <v>262.10000000000002</v>
      </c>
      <c r="AR181" t="str">
        <f>LOOKUP(D181,[2]contacts!$A$2:$A$400,[2]contacts!$G$2:$G$400)</f>
        <v>scottzhx@yeah.net</v>
      </c>
    </row>
    <row r="182" spans="1:44">
      <c r="A182" s="5" t="s">
        <v>38</v>
      </c>
      <c r="B182" s="6" t="s">
        <v>39</v>
      </c>
      <c r="C182" s="6" t="s">
        <v>40</v>
      </c>
      <c r="D182" s="17" t="s">
        <v>394</v>
      </c>
      <c r="E182" s="6" t="s">
        <v>395</v>
      </c>
      <c r="F182" s="7">
        <v>780</v>
      </c>
      <c r="G182" s="7">
        <v>799</v>
      </c>
      <c r="H182" s="7">
        <v>2139</v>
      </c>
      <c r="I182" s="7">
        <v>56</v>
      </c>
      <c r="J182" s="7">
        <v>0</v>
      </c>
      <c r="K182" s="7">
        <v>0</v>
      </c>
      <c r="L182" s="7">
        <v>39.479999999999997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3813.48</v>
      </c>
      <c r="U182" s="7">
        <v>0</v>
      </c>
      <c r="V182" s="7">
        <v>362.9</v>
      </c>
      <c r="W182" s="7">
        <v>259.42</v>
      </c>
      <c r="X182" s="7">
        <v>15.79</v>
      </c>
      <c r="Y182" s="7">
        <v>0</v>
      </c>
      <c r="Z182" s="7">
        <v>3.9</v>
      </c>
      <c r="AA182" s="7">
        <v>0</v>
      </c>
      <c r="AB182" s="7">
        <v>0</v>
      </c>
      <c r="AC182" s="7">
        <v>0</v>
      </c>
      <c r="AD182" s="7">
        <v>0</v>
      </c>
      <c r="AE182" s="7">
        <v>766</v>
      </c>
      <c r="AF182" s="7">
        <v>0</v>
      </c>
      <c r="AG182" s="7">
        <v>0</v>
      </c>
      <c r="AH182" s="7">
        <v>1408.01</v>
      </c>
      <c r="AI182" s="7">
        <v>2406</v>
      </c>
      <c r="AJ182" s="7">
        <v>0.53</v>
      </c>
      <c r="AK182" s="7">
        <v>0</v>
      </c>
      <c r="AL182" s="8">
        <v>2406</v>
      </c>
      <c r="AM182" s="14">
        <f>VLOOKUP(D182,[1]财务部报表_有人事号!$A$2:$D$400,3,0)</f>
        <v>1580</v>
      </c>
      <c r="AN182" s="14">
        <f>VLOOKUP(D182,[1]财务部报表_有人事号!$A$2:$E$400,4,0)</f>
        <v>32.17</v>
      </c>
      <c r="AR182" t="str">
        <f>LOOKUP(D182,[2]contacts!$A$2:$A$400,[2]contacts!$G$2:$G$400)</f>
        <v>00011634@whu.edu.cn</v>
      </c>
    </row>
    <row r="183" spans="1:44">
      <c r="A183" s="5" t="s">
        <v>38</v>
      </c>
      <c r="B183" s="6" t="s">
        <v>39</v>
      </c>
      <c r="C183" s="6" t="s">
        <v>40</v>
      </c>
      <c r="D183" s="17" t="s">
        <v>396</v>
      </c>
      <c r="E183" s="6" t="s">
        <v>397</v>
      </c>
      <c r="F183" s="7">
        <v>1900</v>
      </c>
      <c r="G183" s="7">
        <v>1109</v>
      </c>
      <c r="H183" s="7">
        <v>3108</v>
      </c>
      <c r="I183" s="7">
        <v>56</v>
      </c>
      <c r="J183" s="7">
        <v>0</v>
      </c>
      <c r="K183" s="7">
        <v>0</v>
      </c>
      <c r="L183" s="7">
        <v>75.23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6248.23</v>
      </c>
      <c r="U183" s="7">
        <v>0</v>
      </c>
      <c r="V183" s="7">
        <v>95</v>
      </c>
      <c r="W183" s="7">
        <v>111.86</v>
      </c>
      <c r="X183" s="7">
        <v>30.09</v>
      </c>
      <c r="Y183" s="7">
        <v>40.74</v>
      </c>
      <c r="Z183" s="7">
        <v>9.5</v>
      </c>
      <c r="AA183" s="7">
        <v>0</v>
      </c>
      <c r="AB183" s="7">
        <v>0</v>
      </c>
      <c r="AC183" s="7">
        <v>0</v>
      </c>
      <c r="AD183" s="7">
        <v>0</v>
      </c>
      <c r="AE183" s="7">
        <v>1285</v>
      </c>
      <c r="AF183" s="7">
        <v>0</v>
      </c>
      <c r="AG183" s="7">
        <v>0</v>
      </c>
      <c r="AH183" s="7">
        <v>1572.19</v>
      </c>
      <c r="AI183" s="7">
        <v>4676.5200000000004</v>
      </c>
      <c r="AJ183" s="7">
        <v>0.48</v>
      </c>
      <c r="AK183" s="7">
        <v>0.52</v>
      </c>
      <c r="AL183" s="8">
        <v>4676</v>
      </c>
      <c r="AM183" s="14">
        <f>VLOOKUP(D183,[1]财务部报表_有人事号!$A$2:$D$400,3,0)</f>
        <v>6500</v>
      </c>
      <c r="AN183" s="14">
        <f>VLOOKUP(D183,[1]财务部报表_有人事号!$A$2:$E$400,4,0)</f>
        <v>975.84</v>
      </c>
      <c r="AR183" t="str">
        <f>LOOKUP(D183,[2]contacts!$A$2:$A$400,[2]contacts!$G$2:$G$400)</f>
        <v>tangm@vip.163.com</v>
      </c>
    </row>
    <row r="184" spans="1:44">
      <c r="A184" s="5" t="s">
        <v>38</v>
      </c>
      <c r="B184" s="6" t="s">
        <v>39</v>
      </c>
      <c r="C184" s="6" t="s">
        <v>40</v>
      </c>
      <c r="D184" s="17" t="s">
        <v>398</v>
      </c>
      <c r="E184" s="6" t="s">
        <v>399</v>
      </c>
      <c r="F184" s="7">
        <v>1180</v>
      </c>
      <c r="G184" s="7">
        <v>1199</v>
      </c>
      <c r="H184" s="7">
        <v>2468</v>
      </c>
      <c r="I184" s="7">
        <v>56</v>
      </c>
      <c r="J184" s="7">
        <v>0</v>
      </c>
      <c r="K184" s="7">
        <v>0</v>
      </c>
      <c r="L184" s="7">
        <v>59.48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4962.4799999999996</v>
      </c>
      <c r="U184" s="7">
        <v>0</v>
      </c>
      <c r="V184" s="7">
        <v>171</v>
      </c>
      <c r="W184" s="7">
        <v>113.64</v>
      </c>
      <c r="X184" s="7">
        <v>23.79</v>
      </c>
      <c r="Y184" s="7">
        <v>10.75</v>
      </c>
      <c r="Z184" s="7">
        <v>5.9</v>
      </c>
      <c r="AA184" s="7">
        <v>0</v>
      </c>
      <c r="AB184" s="7">
        <v>0</v>
      </c>
      <c r="AC184" s="7">
        <v>0</v>
      </c>
      <c r="AD184" s="7">
        <v>0</v>
      </c>
      <c r="AE184" s="7">
        <v>1021</v>
      </c>
      <c r="AF184" s="7">
        <v>0</v>
      </c>
      <c r="AG184" s="7">
        <v>0</v>
      </c>
      <c r="AH184" s="7">
        <v>1346.08</v>
      </c>
      <c r="AI184" s="7">
        <v>3616.45</v>
      </c>
      <c r="AJ184" s="7">
        <v>0.05</v>
      </c>
      <c r="AK184" s="7">
        <v>0.45</v>
      </c>
      <c r="AL184" s="8">
        <v>3616</v>
      </c>
      <c r="AM184" s="14">
        <f>VLOOKUP(D184,[1]财务部报表_有人事号!$A$2:$D$400,3,0)</f>
        <v>2300</v>
      </c>
      <c r="AN184" s="14">
        <f>VLOOKUP(D184,[1]财务部报表_有人事号!$A$2:$E$400,4,0)</f>
        <v>150.07</v>
      </c>
      <c r="AR184" t="str">
        <f>LOOKUP(D184,[2]contacts!$A$2:$A$400,[2]contacts!$G$2:$G$400)</f>
        <v>zpxiong@whu.edu.cn</v>
      </c>
    </row>
    <row r="185" spans="1:44">
      <c r="A185" s="5" t="s">
        <v>38</v>
      </c>
      <c r="B185" s="6" t="s">
        <v>39</v>
      </c>
      <c r="C185" s="6" t="s">
        <v>40</v>
      </c>
      <c r="D185" s="17" t="s">
        <v>400</v>
      </c>
      <c r="E185" s="6" t="s">
        <v>401</v>
      </c>
      <c r="F185" s="7">
        <v>1630</v>
      </c>
      <c r="G185" s="7">
        <v>1109</v>
      </c>
      <c r="H185" s="7">
        <v>2961</v>
      </c>
      <c r="I185" s="7">
        <v>56</v>
      </c>
      <c r="J185" s="7">
        <v>0</v>
      </c>
      <c r="K185" s="7">
        <v>0</v>
      </c>
      <c r="L185" s="7">
        <v>68.48</v>
      </c>
      <c r="M185" s="7">
        <v>0</v>
      </c>
      <c r="N185" s="7">
        <v>80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5904.48</v>
      </c>
      <c r="U185" s="7">
        <v>0</v>
      </c>
      <c r="V185" s="7">
        <v>298.3</v>
      </c>
      <c r="W185" s="7">
        <v>185.64</v>
      </c>
      <c r="X185" s="7">
        <v>27.39</v>
      </c>
      <c r="Y185" s="7">
        <v>31.07</v>
      </c>
      <c r="Z185" s="7">
        <v>8.15</v>
      </c>
      <c r="AA185" s="7">
        <v>0</v>
      </c>
      <c r="AB185" s="7">
        <v>0</v>
      </c>
      <c r="AC185" s="7">
        <v>0</v>
      </c>
      <c r="AD185" s="7">
        <v>0</v>
      </c>
      <c r="AE185" s="7">
        <v>1193</v>
      </c>
      <c r="AF185" s="7">
        <v>0</v>
      </c>
      <c r="AG185" s="7">
        <v>0</v>
      </c>
      <c r="AH185" s="7">
        <v>1743.55</v>
      </c>
      <c r="AI185" s="7">
        <v>4161.6400000000003</v>
      </c>
      <c r="AJ185" s="7">
        <v>0.71</v>
      </c>
      <c r="AK185" s="7">
        <v>0.64</v>
      </c>
      <c r="AL185" s="8">
        <v>4161</v>
      </c>
      <c r="AM185" s="14">
        <f>VLOOKUP(D185,[1]财务部报表_有人事号!$A$2:$D$400,3,0)</f>
        <v>5350</v>
      </c>
      <c r="AN185" s="14">
        <f>VLOOKUP(D185,[1]财务部报表_有人事号!$A$2:$E$400,4,0)</f>
        <v>691.05</v>
      </c>
      <c r="AR185" t="str">
        <f>LOOKUP(D185,[2]contacts!$A$2:$A$400,[2]contacts!$G$2:$G$400)</f>
        <v>chenliwuhee@263.net</v>
      </c>
    </row>
    <row r="186" spans="1:44">
      <c r="A186" s="5" t="s">
        <v>38</v>
      </c>
      <c r="B186" s="6" t="s">
        <v>39</v>
      </c>
      <c r="C186" s="6" t="s">
        <v>40</v>
      </c>
      <c r="D186" s="17" t="s">
        <v>402</v>
      </c>
      <c r="E186" s="6" t="s">
        <v>403</v>
      </c>
      <c r="F186" s="7">
        <v>780</v>
      </c>
      <c r="G186" s="7">
        <v>703</v>
      </c>
      <c r="H186" s="7">
        <v>2139</v>
      </c>
      <c r="I186" s="7">
        <v>56</v>
      </c>
      <c r="J186" s="7">
        <v>20</v>
      </c>
      <c r="K186" s="7">
        <v>0</v>
      </c>
      <c r="L186" s="7">
        <v>37.08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3735.08</v>
      </c>
      <c r="U186" s="7">
        <v>0</v>
      </c>
      <c r="V186" s="7">
        <v>7.6</v>
      </c>
      <c r="W186" s="7">
        <v>790.16</v>
      </c>
      <c r="X186" s="7">
        <v>14.83</v>
      </c>
      <c r="Y186" s="7">
        <v>0</v>
      </c>
      <c r="Z186" s="7">
        <v>3.9</v>
      </c>
      <c r="AA186" s="7">
        <v>0</v>
      </c>
      <c r="AB186" s="7">
        <v>0</v>
      </c>
      <c r="AC186" s="7">
        <v>0</v>
      </c>
      <c r="AD186" s="7">
        <v>0</v>
      </c>
      <c r="AE186" s="7">
        <v>742</v>
      </c>
      <c r="AF186" s="7">
        <v>0</v>
      </c>
      <c r="AG186" s="7">
        <v>0</v>
      </c>
      <c r="AH186" s="7">
        <v>1558.49</v>
      </c>
      <c r="AI186" s="7">
        <v>2177.42</v>
      </c>
      <c r="AJ186" s="7">
        <v>0.83</v>
      </c>
      <c r="AK186" s="7">
        <v>0.42</v>
      </c>
      <c r="AL186" s="8">
        <v>2177</v>
      </c>
      <c r="AM186" s="14">
        <f>VLOOKUP(D186,[1]财务部报表_有人事号!$A$2:$D$400,3,0)</f>
        <v>1580</v>
      </c>
      <c r="AN186" s="14">
        <f>VLOOKUP(D186,[1]财务部报表_有人事号!$A$2:$E$400,4,0)</f>
        <v>30.64</v>
      </c>
      <c r="AR186" t="str">
        <f>LOOKUP(D186,[2]contacts!$A$2:$A$400,[2]contacts!$G$2:$G$400)</f>
        <v>luozwrc@163.com</v>
      </c>
    </row>
    <row r="187" spans="1:44">
      <c r="A187" s="5" t="s">
        <v>38</v>
      </c>
      <c r="B187" s="6" t="s">
        <v>39</v>
      </c>
      <c r="C187" s="6" t="s">
        <v>40</v>
      </c>
      <c r="D187" s="17" t="s">
        <v>404</v>
      </c>
      <c r="E187" s="6" t="s">
        <v>405</v>
      </c>
      <c r="F187" s="7">
        <v>780</v>
      </c>
      <c r="G187" s="7">
        <v>904</v>
      </c>
      <c r="H187" s="7">
        <v>2139</v>
      </c>
      <c r="I187" s="7">
        <v>56</v>
      </c>
      <c r="J187" s="7">
        <v>0</v>
      </c>
      <c r="K187" s="7">
        <v>0</v>
      </c>
      <c r="L187" s="7">
        <v>42.1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3921.1</v>
      </c>
      <c r="U187" s="7">
        <v>0</v>
      </c>
      <c r="V187" s="7">
        <v>193.8</v>
      </c>
      <c r="W187" s="7">
        <v>83.89</v>
      </c>
      <c r="X187" s="7">
        <v>16.84</v>
      </c>
      <c r="Y187" s="7">
        <v>0</v>
      </c>
      <c r="Z187" s="7">
        <v>3.9</v>
      </c>
      <c r="AA187" s="7">
        <v>0</v>
      </c>
      <c r="AB187" s="7">
        <v>0</v>
      </c>
      <c r="AC187" s="7">
        <v>0</v>
      </c>
      <c r="AD187" s="7">
        <v>0</v>
      </c>
      <c r="AE187" s="7">
        <v>792</v>
      </c>
      <c r="AF187" s="7">
        <v>0</v>
      </c>
      <c r="AG187" s="7">
        <v>0</v>
      </c>
      <c r="AH187" s="7">
        <v>1090.43</v>
      </c>
      <c r="AI187" s="7">
        <v>2830.9</v>
      </c>
      <c r="AJ187" s="7">
        <v>0.23</v>
      </c>
      <c r="AK187" s="7">
        <v>0.9</v>
      </c>
      <c r="AL187" s="8">
        <v>2830</v>
      </c>
      <c r="AM187" s="14">
        <f>VLOOKUP(D187,[1]财务部报表_有人事号!$A$2:$D$400,3,0)</f>
        <v>1580</v>
      </c>
      <c r="AN187" s="14">
        <f>VLOOKUP(D187,[1]财务部报表_有人事号!$A$2:$E$400,4,0)</f>
        <v>34.5</v>
      </c>
      <c r="AR187" t="str">
        <f>LOOKUP(D187,[2]contacts!$A$2:$A$400,[2]contacts!$G$2:$G$400)</f>
        <v>bmli@whu.edu.cn</v>
      </c>
    </row>
    <row r="188" spans="1:44">
      <c r="A188" s="5" t="s">
        <v>38</v>
      </c>
      <c r="B188" s="6" t="s">
        <v>39</v>
      </c>
      <c r="C188" s="6" t="s">
        <v>40</v>
      </c>
      <c r="D188" s="17" t="s">
        <v>406</v>
      </c>
      <c r="E188" s="6" t="s">
        <v>407</v>
      </c>
      <c r="F188" s="7">
        <v>1040</v>
      </c>
      <c r="G188" s="7">
        <v>767</v>
      </c>
      <c r="H188" s="7">
        <v>2413</v>
      </c>
      <c r="I188" s="7">
        <v>56</v>
      </c>
      <c r="J188" s="7">
        <v>0</v>
      </c>
      <c r="K188" s="7">
        <v>0</v>
      </c>
      <c r="L188" s="7">
        <v>45.18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4321.18</v>
      </c>
      <c r="U188" s="7">
        <v>0</v>
      </c>
      <c r="V188" s="7">
        <v>0</v>
      </c>
      <c r="W188" s="7">
        <v>0</v>
      </c>
      <c r="X188" s="7">
        <v>18.07</v>
      </c>
      <c r="Y188" s="7">
        <v>0</v>
      </c>
      <c r="Z188" s="7">
        <v>5.2</v>
      </c>
      <c r="AA188" s="7">
        <v>0</v>
      </c>
      <c r="AB188" s="7">
        <v>0</v>
      </c>
      <c r="AC188" s="7">
        <v>0</v>
      </c>
      <c r="AD188" s="7">
        <v>0</v>
      </c>
      <c r="AE188" s="7">
        <v>868</v>
      </c>
      <c r="AF188" s="7">
        <v>0</v>
      </c>
      <c r="AG188" s="7">
        <v>0</v>
      </c>
      <c r="AH188" s="7">
        <v>891.27</v>
      </c>
      <c r="AI188" s="7">
        <v>3430.86</v>
      </c>
      <c r="AJ188" s="7">
        <v>0.95</v>
      </c>
      <c r="AK188" s="7">
        <v>0.86</v>
      </c>
      <c r="AL188" s="8">
        <v>3430</v>
      </c>
      <c r="AM188" s="14">
        <f>VLOOKUP(D188,[1]财务部报表_有人事号!$A$2:$D$400,3,0)</f>
        <v>2100</v>
      </c>
      <c r="AN188" s="14">
        <f>VLOOKUP(D188,[1]财务部报表_有人事号!$A$2:$E$400,4,0)</f>
        <v>93.99</v>
      </c>
      <c r="AR188" t="str">
        <f>LOOKUP(D188,[2]contacts!$A$2:$A$400,[2]contacts!$G$2:$G$400)</f>
        <v>wxli1964@163.com</v>
      </c>
    </row>
    <row r="189" spans="1:44">
      <c r="A189" s="5" t="s">
        <v>38</v>
      </c>
      <c r="B189" s="6" t="s">
        <v>39</v>
      </c>
      <c r="C189" s="6" t="s">
        <v>40</v>
      </c>
      <c r="D189" s="17" t="s">
        <v>408</v>
      </c>
      <c r="E189" s="6" t="s">
        <v>409</v>
      </c>
      <c r="F189" s="7">
        <v>1630</v>
      </c>
      <c r="G189" s="7">
        <v>1244</v>
      </c>
      <c r="H189" s="7">
        <v>2961</v>
      </c>
      <c r="I189" s="7">
        <v>56</v>
      </c>
      <c r="J189" s="7">
        <v>0</v>
      </c>
      <c r="K189" s="7">
        <v>0</v>
      </c>
      <c r="L189" s="7">
        <v>71.849999999999994</v>
      </c>
      <c r="M189" s="7">
        <v>0</v>
      </c>
      <c r="N189" s="7">
        <v>0</v>
      </c>
      <c r="O189" s="7">
        <v>0</v>
      </c>
      <c r="P189" s="7">
        <v>5</v>
      </c>
      <c r="Q189" s="7">
        <v>0</v>
      </c>
      <c r="R189" s="7">
        <v>0</v>
      </c>
      <c r="S189" s="7">
        <v>0</v>
      </c>
      <c r="T189" s="7">
        <v>5967.85</v>
      </c>
      <c r="U189" s="7">
        <v>0</v>
      </c>
      <c r="V189" s="7">
        <v>34.200000000000003</v>
      </c>
      <c r="W189" s="7">
        <v>69.02</v>
      </c>
      <c r="X189" s="7">
        <v>28.74</v>
      </c>
      <c r="Y189" s="7">
        <v>34.06</v>
      </c>
      <c r="Z189" s="7">
        <v>8.15</v>
      </c>
      <c r="AA189" s="7">
        <v>0</v>
      </c>
      <c r="AB189" s="7">
        <v>0</v>
      </c>
      <c r="AC189" s="7">
        <v>0</v>
      </c>
      <c r="AD189" s="7">
        <v>0</v>
      </c>
      <c r="AE189" s="7">
        <v>1227</v>
      </c>
      <c r="AF189" s="7">
        <v>0</v>
      </c>
      <c r="AG189" s="7">
        <v>0</v>
      </c>
      <c r="AH189" s="7">
        <v>1401.17</v>
      </c>
      <c r="AI189" s="7">
        <v>4567.51</v>
      </c>
      <c r="AJ189" s="7">
        <v>0.83</v>
      </c>
      <c r="AK189" s="7">
        <v>0.51</v>
      </c>
      <c r="AL189" s="8">
        <v>4567</v>
      </c>
      <c r="AM189" s="14">
        <f>VLOOKUP(D189,[1]财务部报表_有人事号!$A$2:$D$400,3,0)</f>
        <v>4150</v>
      </c>
      <c r="AN189" s="14">
        <f>VLOOKUP(D189,[1]财务部报表_有人事号!$A$2:$E$400,4,0)</f>
        <v>467.99</v>
      </c>
      <c r="AR189" t="str">
        <f>LOOKUP(D189,[2]contacts!$A$2:$A$400,[2]contacts!$G$2:$G$400)</f>
        <v>zhangxf9@public.wh.hb.cn</v>
      </c>
    </row>
    <row r="190" spans="1:44">
      <c r="A190" s="5" t="s">
        <v>38</v>
      </c>
      <c r="B190" s="6" t="s">
        <v>39</v>
      </c>
      <c r="C190" s="6" t="s">
        <v>40</v>
      </c>
      <c r="D190" s="17" t="s">
        <v>410</v>
      </c>
      <c r="E190" s="6" t="s">
        <v>411</v>
      </c>
      <c r="F190" s="7">
        <v>1900</v>
      </c>
      <c r="G190" s="7">
        <v>1434</v>
      </c>
      <c r="H190" s="7">
        <v>3108</v>
      </c>
      <c r="I190" s="7">
        <v>56</v>
      </c>
      <c r="J190" s="7">
        <v>0</v>
      </c>
      <c r="K190" s="7">
        <v>0</v>
      </c>
      <c r="L190" s="7">
        <v>83.35</v>
      </c>
      <c r="M190" s="7">
        <v>600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7181.35</v>
      </c>
      <c r="U190" s="7">
        <v>0</v>
      </c>
      <c r="V190" s="7">
        <v>478.8</v>
      </c>
      <c r="W190" s="7">
        <v>16.66</v>
      </c>
      <c r="X190" s="7">
        <v>33.340000000000003</v>
      </c>
      <c r="Y190" s="7">
        <v>54.87</v>
      </c>
      <c r="Z190" s="7">
        <v>9.5</v>
      </c>
      <c r="AA190" s="7">
        <v>0</v>
      </c>
      <c r="AB190" s="7">
        <v>0</v>
      </c>
      <c r="AC190" s="7">
        <v>0</v>
      </c>
      <c r="AD190" s="7">
        <v>0</v>
      </c>
      <c r="AE190" s="7">
        <v>1366</v>
      </c>
      <c r="AF190" s="7">
        <v>0</v>
      </c>
      <c r="AG190" s="7">
        <v>0</v>
      </c>
      <c r="AH190" s="7">
        <v>1959.17</v>
      </c>
      <c r="AI190" s="7">
        <v>5223.1000000000004</v>
      </c>
      <c r="AJ190" s="7">
        <v>0.92</v>
      </c>
      <c r="AK190" s="7">
        <v>0.1</v>
      </c>
      <c r="AL190" s="8">
        <v>5223</v>
      </c>
      <c r="AM190" s="14">
        <f>VLOOKUP(D190,[1]财务部报表_有人事号!$A$2:$D$400,3,0)</f>
        <v>9950</v>
      </c>
      <c r="AN190" s="14">
        <f>VLOOKUP(D190,[1]财务部报表_有人事号!$A$2:$E$400,4,0)</f>
        <v>1827.3000000000002</v>
      </c>
      <c r="AR190" t="str">
        <f>LOOKUP(D190,[2]contacts!$A$2:$A$400,[2]contacts!$G$2:$G$400)</f>
        <v>ytli@whu.edu.cn</v>
      </c>
    </row>
    <row r="191" spans="1:44">
      <c r="A191" s="5" t="s">
        <v>38</v>
      </c>
      <c r="B191" s="6" t="s">
        <v>39</v>
      </c>
      <c r="C191" s="6" t="s">
        <v>40</v>
      </c>
      <c r="D191" s="17" t="s">
        <v>412</v>
      </c>
      <c r="E191" s="6" t="s">
        <v>413</v>
      </c>
      <c r="F191" s="7">
        <v>1180</v>
      </c>
      <c r="G191" s="7">
        <v>1109</v>
      </c>
      <c r="H191" s="7">
        <v>2468</v>
      </c>
      <c r="I191" s="7">
        <v>56</v>
      </c>
      <c r="J191" s="7">
        <v>0</v>
      </c>
      <c r="K191" s="7">
        <v>0</v>
      </c>
      <c r="L191" s="7">
        <v>57.23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4870.2299999999996</v>
      </c>
      <c r="U191" s="7">
        <v>0</v>
      </c>
      <c r="V191" s="7">
        <v>121.6</v>
      </c>
      <c r="W191" s="7">
        <v>76.75</v>
      </c>
      <c r="X191" s="7">
        <v>22.89</v>
      </c>
      <c r="Y191" s="7">
        <v>8.76</v>
      </c>
      <c r="Z191" s="7">
        <v>5.9</v>
      </c>
      <c r="AA191" s="7">
        <v>0</v>
      </c>
      <c r="AB191" s="7">
        <v>0</v>
      </c>
      <c r="AC191" s="7">
        <v>0</v>
      </c>
      <c r="AD191" s="7">
        <v>0</v>
      </c>
      <c r="AE191" s="7">
        <v>998</v>
      </c>
      <c r="AF191" s="7">
        <v>0</v>
      </c>
      <c r="AG191" s="7">
        <v>0</v>
      </c>
      <c r="AH191" s="7">
        <v>1233.9000000000001</v>
      </c>
      <c r="AI191" s="7">
        <v>3636.81</v>
      </c>
      <c r="AJ191" s="7">
        <v>0.48</v>
      </c>
      <c r="AK191" s="7">
        <v>0.81</v>
      </c>
      <c r="AL191" s="8">
        <v>3636</v>
      </c>
      <c r="AM191" s="14">
        <f>VLOOKUP(D191,[1]财务部报表_有人事号!$A$2:$D$400,3,0)</f>
        <v>2300</v>
      </c>
      <c r="AN191" s="14">
        <f>VLOOKUP(D191,[1]财务部报表_有人事号!$A$2:$E$400,4,0)</f>
        <v>145.45000000000002</v>
      </c>
      <c r="AR191" t="str">
        <f>LOOKUP(D191,[2]contacts!$A$2:$A$400,[2]contacts!$G$2:$G$400)</f>
        <v>jmsht001@126.com</v>
      </c>
    </row>
    <row r="192" spans="1:44">
      <c r="A192" s="5" t="s">
        <v>38</v>
      </c>
      <c r="B192" s="6" t="s">
        <v>39</v>
      </c>
      <c r="C192" s="6" t="s">
        <v>40</v>
      </c>
      <c r="D192" s="17" t="s">
        <v>414</v>
      </c>
      <c r="E192" s="6" t="s">
        <v>415</v>
      </c>
      <c r="F192" s="7">
        <v>1630</v>
      </c>
      <c r="G192" s="7">
        <v>1334</v>
      </c>
      <c r="H192" s="7">
        <v>2961</v>
      </c>
      <c r="I192" s="7">
        <v>56</v>
      </c>
      <c r="J192" s="7">
        <v>0</v>
      </c>
      <c r="K192" s="7">
        <v>0</v>
      </c>
      <c r="L192" s="7">
        <v>74.099999999999994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6055.1</v>
      </c>
      <c r="U192" s="7">
        <v>0</v>
      </c>
      <c r="V192" s="7">
        <v>0</v>
      </c>
      <c r="W192" s="7">
        <v>0</v>
      </c>
      <c r="X192" s="7">
        <v>29.64</v>
      </c>
      <c r="Y192" s="7">
        <v>36.07</v>
      </c>
      <c r="Z192" s="7">
        <v>8.15</v>
      </c>
      <c r="AA192" s="7">
        <v>0</v>
      </c>
      <c r="AB192" s="7">
        <v>0</v>
      </c>
      <c r="AC192" s="7">
        <v>0</v>
      </c>
      <c r="AD192" s="7">
        <v>0</v>
      </c>
      <c r="AE192" s="7">
        <v>1249</v>
      </c>
      <c r="AF192" s="7">
        <v>0</v>
      </c>
      <c r="AG192" s="7">
        <v>0</v>
      </c>
      <c r="AH192" s="7">
        <v>1322.86</v>
      </c>
      <c r="AI192" s="7">
        <v>4732.63</v>
      </c>
      <c r="AJ192" s="7">
        <v>0.39</v>
      </c>
      <c r="AK192" s="7">
        <v>0.63</v>
      </c>
      <c r="AL192" s="8">
        <v>4732</v>
      </c>
      <c r="AM192" s="14">
        <f>VLOOKUP(D192,[1]财务部报表_有人事号!$A$2:$D$400,3,0)</f>
        <v>4150</v>
      </c>
      <c r="AN192" s="14">
        <f>VLOOKUP(D192,[1]财务部报表_有人事号!$A$2:$E$400,4,0)</f>
        <v>479.40000000000003</v>
      </c>
      <c r="AR192" t="str">
        <f>LOOKUP(D192,[2]contacts!$A$2:$A$400,[2]contacts!$G$2:$G$400)</f>
        <v>zhilinwei@sohu.com</v>
      </c>
    </row>
    <row r="193" spans="1:44">
      <c r="A193" s="5" t="s">
        <v>38</v>
      </c>
      <c r="B193" s="6" t="s">
        <v>39</v>
      </c>
      <c r="C193" s="6" t="s">
        <v>40</v>
      </c>
      <c r="D193" s="17" t="s">
        <v>416</v>
      </c>
      <c r="E193" s="6" t="s">
        <v>417</v>
      </c>
      <c r="F193" s="7">
        <v>780</v>
      </c>
      <c r="G193" s="7">
        <v>703</v>
      </c>
      <c r="H193" s="7">
        <v>2139</v>
      </c>
      <c r="I193" s="7">
        <v>56</v>
      </c>
      <c r="J193" s="7">
        <v>20</v>
      </c>
      <c r="K193" s="7">
        <v>0</v>
      </c>
      <c r="L193" s="7">
        <v>37.08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3735.08</v>
      </c>
      <c r="U193" s="7">
        <v>0</v>
      </c>
      <c r="V193" s="7">
        <v>0</v>
      </c>
      <c r="W193" s="7">
        <v>296.89999999999998</v>
      </c>
      <c r="X193" s="7">
        <v>14.83</v>
      </c>
      <c r="Y193" s="7">
        <v>0</v>
      </c>
      <c r="Z193" s="7">
        <v>3.9</v>
      </c>
      <c r="AA193" s="7">
        <v>0</v>
      </c>
      <c r="AB193" s="7">
        <v>0</v>
      </c>
      <c r="AC193" s="7">
        <v>0</v>
      </c>
      <c r="AD193" s="7">
        <v>0</v>
      </c>
      <c r="AE193" s="7">
        <v>742</v>
      </c>
      <c r="AF193" s="7">
        <v>0</v>
      </c>
      <c r="AG193" s="7">
        <v>0</v>
      </c>
      <c r="AH193" s="7">
        <v>1057.6300000000001</v>
      </c>
      <c r="AI193" s="7">
        <v>2678.24</v>
      </c>
      <c r="AJ193" s="7">
        <v>0.79</v>
      </c>
      <c r="AK193" s="7">
        <v>0.24</v>
      </c>
      <c r="AL193" s="8">
        <v>2678</v>
      </c>
      <c r="AM193" s="14">
        <f>VLOOKUP(D193,[1]财务部报表_有人事号!$A$2:$D$400,3,0)</f>
        <v>1580</v>
      </c>
      <c r="AN193" s="14">
        <f>VLOOKUP(D193,[1]财务部报表_有人事号!$A$2:$E$400,4,0)</f>
        <v>30.64</v>
      </c>
      <c r="AR193" t="str">
        <f>LOOKUP(D193,[2]contacts!$A$2:$A$400,[2]contacts!$G$2:$G$400)</f>
        <v>308062968@qq.com</v>
      </c>
    </row>
    <row r="194" spans="1:44">
      <c r="A194" s="5" t="s">
        <v>38</v>
      </c>
      <c r="B194" s="6" t="s">
        <v>39</v>
      </c>
      <c r="C194" s="6" t="s">
        <v>40</v>
      </c>
      <c r="D194" s="17" t="s">
        <v>418</v>
      </c>
      <c r="E194" s="6" t="s">
        <v>419</v>
      </c>
      <c r="F194" s="7">
        <v>1420</v>
      </c>
      <c r="G194" s="7">
        <v>703</v>
      </c>
      <c r="H194" s="7">
        <v>2779</v>
      </c>
      <c r="I194" s="7">
        <v>56</v>
      </c>
      <c r="J194" s="7">
        <v>20</v>
      </c>
      <c r="K194" s="7">
        <v>0</v>
      </c>
      <c r="L194" s="7">
        <v>53.08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5031.08</v>
      </c>
      <c r="U194" s="7">
        <v>200</v>
      </c>
      <c r="V194" s="7">
        <v>11.4</v>
      </c>
      <c r="W194" s="7">
        <v>8.33</v>
      </c>
      <c r="X194" s="7">
        <v>21.23</v>
      </c>
      <c r="Y194" s="7">
        <v>13.64</v>
      </c>
      <c r="Z194" s="7">
        <v>7.1</v>
      </c>
      <c r="AA194" s="7">
        <v>0</v>
      </c>
      <c r="AB194" s="7">
        <v>0</v>
      </c>
      <c r="AC194" s="7">
        <v>0</v>
      </c>
      <c r="AD194" s="7">
        <v>0</v>
      </c>
      <c r="AE194" s="7">
        <v>1002</v>
      </c>
      <c r="AF194" s="7">
        <v>0</v>
      </c>
      <c r="AG194" s="7">
        <v>0</v>
      </c>
      <c r="AH194" s="7">
        <v>1263.7</v>
      </c>
      <c r="AI194" s="7">
        <v>3767.49</v>
      </c>
      <c r="AJ194" s="7">
        <v>0.11</v>
      </c>
      <c r="AK194" s="7">
        <v>0.49</v>
      </c>
      <c r="AL194" s="8">
        <v>3767</v>
      </c>
      <c r="AM194" s="14">
        <f>VLOOKUP(D194,[1]财务部报表_有人事号!$A$2:$D$400,3,0)</f>
        <v>3350</v>
      </c>
      <c r="AN194" s="14">
        <f>VLOOKUP(D194,[1]财务部报表_有人事号!$A$2:$E$400,4,0)</f>
        <v>261.84000000000003</v>
      </c>
      <c r="AR194" t="str">
        <f>LOOKUP(D194,[2]contacts!$A$2:$A$400,[2]contacts!$G$2:$G$400)</f>
        <v>mhyu66@263.net</v>
      </c>
    </row>
    <row r="195" spans="1:44">
      <c r="A195" s="5" t="s">
        <v>38</v>
      </c>
      <c r="B195" s="6" t="s">
        <v>39</v>
      </c>
      <c r="C195" s="6" t="s">
        <v>40</v>
      </c>
      <c r="D195" s="17" t="s">
        <v>420</v>
      </c>
      <c r="E195" s="6" t="s">
        <v>421</v>
      </c>
      <c r="F195" s="7">
        <v>1420</v>
      </c>
      <c r="G195" s="7">
        <v>944</v>
      </c>
      <c r="H195" s="7">
        <v>2779</v>
      </c>
      <c r="I195" s="7">
        <v>56</v>
      </c>
      <c r="J195" s="7">
        <v>20</v>
      </c>
      <c r="K195" s="7">
        <v>0</v>
      </c>
      <c r="L195" s="7">
        <v>59.1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5278.1</v>
      </c>
      <c r="U195" s="7">
        <v>0</v>
      </c>
      <c r="V195" s="7">
        <v>0</v>
      </c>
      <c r="W195" s="7">
        <v>0</v>
      </c>
      <c r="X195" s="7">
        <v>23.64</v>
      </c>
      <c r="Y195" s="7">
        <v>18.97</v>
      </c>
      <c r="Z195" s="7">
        <v>7.1</v>
      </c>
      <c r="AA195" s="7">
        <v>0</v>
      </c>
      <c r="AB195" s="7">
        <v>0</v>
      </c>
      <c r="AC195" s="7">
        <v>0</v>
      </c>
      <c r="AD195" s="7">
        <v>0</v>
      </c>
      <c r="AE195" s="7">
        <v>1063</v>
      </c>
      <c r="AF195" s="7">
        <v>0</v>
      </c>
      <c r="AG195" s="7">
        <v>0</v>
      </c>
      <c r="AH195" s="7">
        <v>1112.71</v>
      </c>
      <c r="AI195" s="7">
        <v>4166.2299999999996</v>
      </c>
      <c r="AJ195" s="7">
        <v>0.84</v>
      </c>
      <c r="AK195" s="7">
        <v>0.23</v>
      </c>
      <c r="AL195" s="8">
        <v>4166</v>
      </c>
      <c r="AM195" s="14">
        <f>VLOOKUP(D195,[1]财务部报表_有人事号!$A$2:$D$400,3,0)</f>
        <v>3350</v>
      </c>
      <c r="AN195" s="14">
        <f>VLOOKUP(D195,[1]财务部报表_有人事号!$A$2:$E$400,4,0)</f>
        <v>274.27</v>
      </c>
      <c r="AR195" t="str">
        <f>LOOKUP(D195,[2]contacts!$A$2:$A$400,[2]contacts!$G$2:$G$400)</f>
        <v>kkli@whu.edu.cn</v>
      </c>
    </row>
    <row r="196" spans="1:44">
      <c r="A196" s="5" t="s">
        <v>38</v>
      </c>
      <c r="B196" s="6" t="s">
        <v>39</v>
      </c>
      <c r="C196" s="6" t="s">
        <v>40</v>
      </c>
      <c r="D196" s="17" t="s">
        <v>422</v>
      </c>
      <c r="E196" s="6" t="s">
        <v>423</v>
      </c>
      <c r="F196" s="7">
        <v>730</v>
      </c>
      <c r="G196" s="7">
        <v>555</v>
      </c>
      <c r="H196" s="7">
        <v>2102</v>
      </c>
      <c r="I196" s="7">
        <v>56</v>
      </c>
      <c r="J196" s="7">
        <v>20</v>
      </c>
      <c r="K196" s="7">
        <v>0</v>
      </c>
      <c r="L196" s="7">
        <v>32.130000000000003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3495.13</v>
      </c>
      <c r="U196" s="7">
        <v>0</v>
      </c>
      <c r="V196" s="7">
        <v>0</v>
      </c>
      <c r="W196" s="7">
        <v>0</v>
      </c>
      <c r="X196" s="7">
        <v>12.85</v>
      </c>
      <c r="Y196" s="7">
        <v>0</v>
      </c>
      <c r="Z196" s="7">
        <v>3.65</v>
      </c>
      <c r="AA196" s="7">
        <v>0</v>
      </c>
      <c r="AB196" s="7">
        <v>0</v>
      </c>
      <c r="AC196" s="7">
        <v>0</v>
      </c>
      <c r="AD196" s="7">
        <v>0</v>
      </c>
      <c r="AE196" s="7">
        <v>686</v>
      </c>
      <c r="AF196" s="7">
        <v>0</v>
      </c>
      <c r="AG196" s="7">
        <v>0</v>
      </c>
      <c r="AH196" s="7">
        <v>702.5</v>
      </c>
      <c r="AI196" s="7">
        <v>2792.81</v>
      </c>
      <c r="AJ196" s="7">
        <v>0.18</v>
      </c>
      <c r="AK196" s="7">
        <v>0.81</v>
      </c>
      <c r="AL196" s="8">
        <v>2792</v>
      </c>
      <c r="AM196" s="14">
        <f>VLOOKUP(D196,[1]财务部报表_有人事号!$A$2:$D$400,3,0)</f>
        <v>1430</v>
      </c>
      <c r="AN196" s="14">
        <f>VLOOKUP(D196,[1]财务部报表_有人事号!$A$2:$E$400,4,0)</f>
        <v>20.82</v>
      </c>
      <c r="AR196" t="str">
        <f>LOOKUP(D196,[2]contacts!$A$2:$A$400,[2]contacts!$G$2:$G$400)</f>
        <v>liangliqqq@163.com</v>
      </c>
    </row>
    <row r="197" spans="1:44">
      <c r="A197" s="5" t="s">
        <v>38</v>
      </c>
      <c r="B197" s="6" t="s">
        <v>39</v>
      </c>
      <c r="C197" s="6" t="s">
        <v>40</v>
      </c>
      <c r="D197" s="17" t="s">
        <v>424</v>
      </c>
      <c r="E197" s="6" t="s">
        <v>425</v>
      </c>
      <c r="F197" s="7">
        <v>730</v>
      </c>
      <c r="G197" s="7">
        <v>613</v>
      </c>
      <c r="H197" s="7">
        <v>2102</v>
      </c>
      <c r="I197" s="7">
        <v>56</v>
      </c>
      <c r="J197" s="7">
        <v>20</v>
      </c>
      <c r="K197" s="7">
        <v>0</v>
      </c>
      <c r="L197" s="7">
        <v>33.58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3554.58</v>
      </c>
      <c r="U197" s="7">
        <v>0</v>
      </c>
      <c r="V197" s="7">
        <v>26.6</v>
      </c>
      <c r="W197" s="7">
        <v>13.09</v>
      </c>
      <c r="X197" s="7">
        <v>13.43</v>
      </c>
      <c r="Y197" s="7">
        <v>0</v>
      </c>
      <c r="Z197" s="7">
        <v>3.65</v>
      </c>
      <c r="AA197" s="7">
        <v>0</v>
      </c>
      <c r="AB197" s="7">
        <v>0</v>
      </c>
      <c r="AC197" s="7">
        <v>0</v>
      </c>
      <c r="AD197" s="7">
        <v>0</v>
      </c>
      <c r="AE197" s="7">
        <v>701</v>
      </c>
      <c r="AF197" s="7">
        <v>0</v>
      </c>
      <c r="AG197" s="7">
        <v>0</v>
      </c>
      <c r="AH197" s="7">
        <v>757.77</v>
      </c>
      <c r="AI197" s="7">
        <v>2797.74</v>
      </c>
      <c r="AJ197" s="7">
        <v>0.93</v>
      </c>
      <c r="AK197" s="7">
        <v>0.74</v>
      </c>
      <c r="AL197" s="8">
        <v>2797</v>
      </c>
      <c r="AM197" s="14">
        <f>VLOOKUP(D197,[1]财务部报表_有人事号!$A$2:$D$400,3,0)</f>
        <v>1430</v>
      </c>
      <c r="AN197" s="14">
        <f>VLOOKUP(D197,[1]财务部报表_有人事号!$A$2:$E$400,4,0)</f>
        <v>22.1</v>
      </c>
      <c r="AR197" t="str">
        <f>LOOKUP(D197,[2]contacts!$A$2:$A$400,[2]contacts!$G$2:$G$400)</f>
        <v>whongxuey@yahoo.com.cn</v>
      </c>
    </row>
    <row r="198" spans="1:44">
      <c r="A198" s="5" t="s">
        <v>38</v>
      </c>
      <c r="B198" s="6" t="s">
        <v>39</v>
      </c>
      <c r="C198" s="6" t="s">
        <v>40</v>
      </c>
      <c r="D198" s="17" t="s">
        <v>426</v>
      </c>
      <c r="E198" s="6" t="s">
        <v>427</v>
      </c>
      <c r="F198" s="7">
        <v>1045</v>
      </c>
      <c r="G198" s="7">
        <v>1109</v>
      </c>
      <c r="H198" s="7">
        <v>2779</v>
      </c>
      <c r="I198" s="7">
        <v>56</v>
      </c>
      <c r="J198" s="7">
        <v>0</v>
      </c>
      <c r="K198" s="7">
        <v>0</v>
      </c>
      <c r="L198" s="7">
        <v>54.73</v>
      </c>
      <c r="M198" s="7">
        <v>0</v>
      </c>
      <c r="N198" s="7">
        <v>0</v>
      </c>
      <c r="O198" s="7">
        <v>35</v>
      </c>
      <c r="P198" s="7">
        <v>0</v>
      </c>
      <c r="Q198" s="7">
        <v>0</v>
      </c>
      <c r="R198" s="7">
        <v>0</v>
      </c>
      <c r="S198" s="7">
        <v>0</v>
      </c>
      <c r="T198" s="7">
        <v>5078.7299999999996</v>
      </c>
      <c r="U198" s="7">
        <v>0</v>
      </c>
      <c r="V198" s="7">
        <v>115.9</v>
      </c>
      <c r="W198" s="7">
        <v>19.04</v>
      </c>
      <c r="X198" s="7">
        <v>21.54</v>
      </c>
      <c r="Y198" s="7">
        <v>14.5</v>
      </c>
      <c r="Z198" s="7">
        <v>5.23</v>
      </c>
      <c r="AA198" s="7">
        <v>0</v>
      </c>
      <c r="AB198" s="7">
        <v>0</v>
      </c>
      <c r="AC198" s="7">
        <v>0</v>
      </c>
      <c r="AD198" s="7">
        <v>0</v>
      </c>
      <c r="AE198" s="7">
        <v>1019</v>
      </c>
      <c r="AF198" s="7">
        <v>0</v>
      </c>
      <c r="AG198" s="7">
        <v>0</v>
      </c>
      <c r="AH198" s="7">
        <v>1195.21</v>
      </c>
      <c r="AI198" s="7">
        <v>3883.57</v>
      </c>
      <c r="AJ198" s="7">
        <v>0.05</v>
      </c>
      <c r="AK198" s="7">
        <v>0.56999999999999995</v>
      </c>
      <c r="AL198" s="8">
        <v>3883</v>
      </c>
      <c r="AM198" s="14">
        <f>VLOOKUP(D198,[1]财务部报表_有人事号!$A$2:$D$400,3,0)</f>
        <v>4100</v>
      </c>
      <c r="AN198" s="14">
        <f>VLOOKUP(D198,[1]财务部报表_有人事号!$A$2:$E$400,4,0)</f>
        <v>347.19</v>
      </c>
      <c r="AR198" t="str">
        <f>LOOKUP(D198,[2]contacts!$A$2:$A$400,[2]contacts!$G$2:$G$400)</f>
        <v>lijx@whu.edu.cn</v>
      </c>
    </row>
    <row r="199" spans="1:44">
      <c r="A199" s="5" t="s">
        <v>38</v>
      </c>
      <c r="B199" s="6" t="s">
        <v>39</v>
      </c>
      <c r="C199" s="6" t="s">
        <v>40</v>
      </c>
      <c r="D199" s="17" t="s">
        <v>428</v>
      </c>
      <c r="E199" s="6" t="s">
        <v>429</v>
      </c>
      <c r="F199" s="7">
        <v>720</v>
      </c>
      <c r="G199" s="7">
        <v>799</v>
      </c>
      <c r="H199" s="7">
        <v>2139</v>
      </c>
      <c r="I199" s="7">
        <v>56</v>
      </c>
      <c r="J199" s="7">
        <v>20</v>
      </c>
      <c r="K199" s="7">
        <v>0</v>
      </c>
      <c r="L199" s="7">
        <v>37.979999999999997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3771.98</v>
      </c>
      <c r="U199" s="7">
        <v>0</v>
      </c>
      <c r="V199" s="7">
        <v>0</v>
      </c>
      <c r="W199" s="7">
        <v>0</v>
      </c>
      <c r="X199" s="7">
        <v>15.19</v>
      </c>
      <c r="Y199" s="7">
        <v>0</v>
      </c>
      <c r="Z199" s="7">
        <v>3.6</v>
      </c>
      <c r="AA199" s="7">
        <v>0</v>
      </c>
      <c r="AB199" s="7">
        <v>0</v>
      </c>
      <c r="AC199" s="7">
        <v>0</v>
      </c>
      <c r="AD199" s="7">
        <v>0</v>
      </c>
      <c r="AE199" s="7">
        <v>751</v>
      </c>
      <c r="AF199" s="7">
        <v>0</v>
      </c>
      <c r="AG199" s="7">
        <v>0</v>
      </c>
      <c r="AH199" s="7">
        <v>769.79</v>
      </c>
      <c r="AI199" s="7">
        <v>3002.61</v>
      </c>
      <c r="AJ199" s="7">
        <v>0.42</v>
      </c>
      <c r="AK199" s="7">
        <v>0.61</v>
      </c>
      <c r="AL199" s="8">
        <v>3002</v>
      </c>
      <c r="AM199" s="14">
        <f>VLOOKUP(D199,[1]财务部报表_有人事号!$A$2:$D$400,3,0)</f>
        <v>2030</v>
      </c>
      <c r="AN199" s="14">
        <f>VLOOKUP(D199,[1]财务部报表_有人事号!$A$2:$E$400,4,0)</f>
        <v>44.93</v>
      </c>
      <c r="AR199" t="str">
        <f>LOOKUP(D199,[2]contacts!$A$2:$A$400,[2]contacts!$G$2:$G$400)</f>
        <v>yhcai8830@yahoo.com.cn</v>
      </c>
    </row>
    <row r="200" spans="1:44">
      <c r="A200" s="5" t="s">
        <v>38</v>
      </c>
      <c r="B200" s="6" t="s">
        <v>39</v>
      </c>
      <c r="C200" s="6" t="s">
        <v>40</v>
      </c>
      <c r="D200" s="17" t="s">
        <v>430</v>
      </c>
      <c r="E200" s="6" t="s">
        <v>431</v>
      </c>
      <c r="F200" s="7">
        <v>1045</v>
      </c>
      <c r="G200" s="7">
        <v>673</v>
      </c>
      <c r="H200" s="7">
        <v>2779</v>
      </c>
      <c r="I200" s="7">
        <v>56</v>
      </c>
      <c r="J200" s="7">
        <v>0</v>
      </c>
      <c r="K200" s="7">
        <v>0</v>
      </c>
      <c r="L200" s="7">
        <v>45.05</v>
      </c>
      <c r="M200" s="7">
        <v>0</v>
      </c>
      <c r="N200" s="7">
        <v>0</v>
      </c>
      <c r="O200" s="7">
        <v>84</v>
      </c>
      <c r="P200" s="7">
        <v>0</v>
      </c>
      <c r="Q200" s="7">
        <v>0</v>
      </c>
      <c r="R200" s="7">
        <v>0</v>
      </c>
      <c r="S200" s="7">
        <v>0</v>
      </c>
      <c r="T200" s="7">
        <v>4682.05</v>
      </c>
      <c r="U200" s="7">
        <v>0</v>
      </c>
      <c r="V200" s="7">
        <v>0</v>
      </c>
      <c r="W200" s="7">
        <v>157.08000000000001</v>
      </c>
      <c r="X200" s="7">
        <v>17.18</v>
      </c>
      <c r="Y200" s="7">
        <v>5.93</v>
      </c>
      <c r="Z200" s="7">
        <v>5.23</v>
      </c>
      <c r="AA200" s="7">
        <v>0</v>
      </c>
      <c r="AB200" s="7">
        <v>0</v>
      </c>
      <c r="AC200" s="7">
        <v>0</v>
      </c>
      <c r="AD200" s="7">
        <v>0</v>
      </c>
      <c r="AE200" s="7">
        <v>922</v>
      </c>
      <c r="AF200" s="7">
        <v>0</v>
      </c>
      <c r="AG200" s="7">
        <v>0</v>
      </c>
      <c r="AH200" s="7">
        <v>1107.42</v>
      </c>
      <c r="AI200" s="7">
        <v>3575</v>
      </c>
      <c r="AJ200" s="7">
        <v>0.37</v>
      </c>
      <c r="AK200" s="7">
        <v>0</v>
      </c>
      <c r="AL200" s="8">
        <v>3575</v>
      </c>
      <c r="AM200" s="14">
        <f>VLOOKUP(D200,[1]财务部报表_有人事号!$A$2:$D$400,3,0)</f>
        <v>7100</v>
      </c>
      <c r="AN200" s="14">
        <f>VLOOKUP(D200,[1]财务部报表_有人事号!$A$2:$E$400,4,0)</f>
        <v>898.63</v>
      </c>
      <c r="AR200" t="str">
        <f>LOOKUP(D200,[2]contacts!$A$2:$A$400,[2]contacts!$G$2:$G$400)</f>
        <v>wuyq@whu.edu.cn</v>
      </c>
    </row>
    <row r="201" spans="1:44">
      <c r="A201" s="5" t="s">
        <v>38</v>
      </c>
      <c r="B201" s="6" t="s">
        <v>39</v>
      </c>
      <c r="C201" s="6" t="s">
        <v>40</v>
      </c>
      <c r="D201" s="17" t="s">
        <v>432</v>
      </c>
      <c r="E201" s="6" t="s">
        <v>433</v>
      </c>
      <c r="F201" s="7">
        <v>720</v>
      </c>
      <c r="G201" s="7">
        <v>643</v>
      </c>
      <c r="H201" s="7">
        <v>2139</v>
      </c>
      <c r="I201" s="7">
        <v>56</v>
      </c>
      <c r="J201" s="7">
        <v>20</v>
      </c>
      <c r="K201" s="7">
        <v>0</v>
      </c>
      <c r="L201" s="7">
        <v>39.43</v>
      </c>
      <c r="M201" s="7">
        <v>0</v>
      </c>
      <c r="N201" s="7">
        <v>0</v>
      </c>
      <c r="O201" s="7">
        <v>214</v>
      </c>
      <c r="P201" s="7">
        <v>0</v>
      </c>
      <c r="Q201" s="7">
        <v>0</v>
      </c>
      <c r="R201" s="7">
        <v>0</v>
      </c>
      <c r="S201" s="7">
        <v>0</v>
      </c>
      <c r="T201" s="7">
        <v>3831.43</v>
      </c>
      <c r="U201" s="7">
        <v>0</v>
      </c>
      <c r="V201" s="7">
        <v>0</v>
      </c>
      <c r="W201" s="7">
        <v>0</v>
      </c>
      <c r="X201" s="7">
        <v>13.63</v>
      </c>
      <c r="Y201" s="7">
        <v>0</v>
      </c>
      <c r="Z201" s="7">
        <v>3.6</v>
      </c>
      <c r="AA201" s="7">
        <v>0</v>
      </c>
      <c r="AB201" s="7">
        <v>0</v>
      </c>
      <c r="AC201" s="7">
        <v>0</v>
      </c>
      <c r="AD201" s="7">
        <v>0</v>
      </c>
      <c r="AE201" s="7">
        <v>765</v>
      </c>
      <c r="AF201" s="7">
        <v>0</v>
      </c>
      <c r="AG201" s="7">
        <v>0</v>
      </c>
      <c r="AH201" s="7">
        <v>782.23</v>
      </c>
      <c r="AI201" s="7">
        <v>3049.71</v>
      </c>
      <c r="AJ201" s="7">
        <v>0.51</v>
      </c>
      <c r="AK201" s="7">
        <v>0.71</v>
      </c>
      <c r="AL201" s="8">
        <v>3049</v>
      </c>
      <c r="AM201" s="14">
        <f>VLOOKUP(D201,[1]财务部报表_有人事号!$A$2:$D$400,3,0)</f>
        <v>4780</v>
      </c>
      <c r="AN201" s="14">
        <f>VLOOKUP(D201,[1]财务部报表_有人事号!$A$2:$E$400,4,0)</f>
        <v>324.33999999999997</v>
      </c>
      <c r="AR201" t="str">
        <f>LOOKUP(D201,[2]contacts!$A$2:$A$400,[2]contacts!$G$2:$G$400)</f>
        <v>lyy2216@126.com</v>
      </c>
    </row>
    <row r="202" spans="1:44">
      <c r="A202" s="5" t="s">
        <v>38</v>
      </c>
      <c r="B202" s="6" t="s">
        <v>39</v>
      </c>
      <c r="C202" s="6" t="s">
        <v>40</v>
      </c>
      <c r="D202" s="17" t="s">
        <v>434</v>
      </c>
      <c r="E202" s="6" t="s">
        <v>435</v>
      </c>
      <c r="F202" s="7">
        <v>730</v>
      </c>
      <c r="G202" s="7">
        <v>703</v>
      </c>
      <c r="H202" s="7">
        <v>2102</v>
      </c>
      <c r="I202" s="7">
        <v>56</v>
      </c>
      <c r="J202" s="7">
        <v>20</v>
      </c>
      <c r="K202" s="7">
        <v>0</v>
      </c>
      <c r="L202" s="7">
        <v>35.83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3646.83</v>
      </c>
      <c r="U202" s="7">
        <v>0</v>
      </c>
      <c r="V202" s="7">
        <v>0</v>
      </c>
      <c r="W202" s="7">
        <v>0</v>
      </c>
      <c r="X202" s="7">
        <v>14.33</v>
      </c>
      <c r="Y202" s="7">
        <v>0</v>
      </c>
      <c r="Z202" s="7">
        <v>3.65</v>
      </c>
      <c r="AA202" s="7">
        <v>0</v>
      </c>
      <c r="AB202" s="7">
        <v>0</v>
      </c>
      <c r="AC202" s="7">
        <v>0</v>
      </c>
      <c r="AD202" s="7">
        <v>0</v>
      </c>
      <c r="AE202" s="7">
        <v>723</v>
      </c>
      <c r="AF202" s="7">
        <v>0</v>
      </c>
      <c r="AG202" s="7">
        <v>0</v>
      </c>
      <c r="AH202" s="7">
        <v>740.98</v>
      </c>
      <c r="AI202" s="7">
        <v>2906.09</v>
      </c>
      <c r="AJ202" s="7">
        <v>0.24</v>
      </c>
      <c r="AK202" s="7">
        <v>0.09</v>
      </c>
      <c r="AL202" s="8">
        <v>2906</v>
      </c>
      <c r="AM202" s="14">
        <f>VLOOKUP(D202,[1]财务部报表_有人事号!$A$2:$D$400,3,0)</f>
        <v>1430</v>
      </c>
      <c r="AN202" s="14">
        <f>VLOOKUP(D202,[1]财务部报表_有人事号!$A$2:$E$400,4,0)</f>
        <v>24.11</v>
      </c>
      <c r="AR202" t="str">
        <f>LOOKUP(D202,[2]contacts!$A$2:$A$400,[2]contacts!$G$2:$G$400)</f>
        <v>1134204525@qq.com</v>
      </c>
    </row>
    <row r="203" spans="1:44">
      <c r="A203" s="5" t="s">
        <v>38</v>
      </c>
      <c r="B203" s="6" t="s">
        <v>39</v>
      </c>
      <c r="C203" s="6" t="s">
        <v>40</v>
      </c>
      <c r="D203" s="17" t="s">
        <v>436</v>
      </c>
      <c r="E203" s="6" t="s">
        <v>437</v>
      </c>
      <c r="F203" s="7">
        <v>1420</v>
      </c>
      <c r="G203" s="7">
        <v>643</v>
      </c>
      <c r="H203" s="7">
        <v>2779</v>
      </c>
      <c r="I203" s="7">
        <v>56</v>
      </c>
      <c r="J203" s="7">
        <v>20</v>
      </c>
      <c r="K203" s="7">
        <v>0</v>
      </c>
      <c r="L203" s="7">
        <v>51.58</v>
      </c>
      <c r="M203" s="7">
        <v>0</v>
      </c>
      <c r="N203" s="7">
        <v>0</v>
      </c>
      <c r="O203" s="7">
        <v>0</v>
      </c>
      <c r="P203" s="7">
        <v>5</v>
      </c>
      <c r="Q203" s="7">
        <v>0</v>
      </c>
      <c r="R203" s="7">
        <v>0</v>
      </c>
      <c r="S203" s="7">
        <v>0</v>
      </c>
      <c r="T203" s="7">
        <v>4974.58</v>
      </c>
      <c r="U203" s="7">
        <v>0</v>
      </c>
      <c r="V203" s="7">
        <v>406.6</v>
      </c>
      <c r="W203" s="7">
        <v>394.48</v>
      </c>
      <c r="X203" s="7">
        <v>20.63</v>
      </c>
      <c r="Y203" s="7">
        <v>12.31</v>
      </c>
      <c r="Z203" s="7">
        <v>7.1</v>
      </c>
      <c r="AA203" s="7">
        <v>0</v>
      </c>
      <c r="AB203" s="7">
        <v>0</v>
      </c>
      <c r="AC203" s="7">
        <v>0</v>
      </c>
      <c r="AD203" s="7">
        <v>0</v>
      </c>
      <c r="AE203" s="7">
        <v>987</v>
      </c>
      <c r="AF203" s="7">
        <v>0</v>
      </c>
      <c r="AG203" s="7">
        <v>0</v>
      </c>
      <c r="AH203" s="7">
        <v>1828.12</v>
      </c>
      <c r="AI203" s="7">
        <v>3146.52</v>
      </c>
      <c r="AJ203" s="7">
        <v>0.06</v>
      </c>
      <c r="AK203" s="7">
        <v>0.52</v>
      </c>
      <c r="AL203" s="8">
        <v>3146</v>
      </c>
      <c r="AM203" s="14">
        <f>VLOOKUP(D203,[1]财务部报表_有人事号!$A$2:$D$400,3,0)</f>
        <v>3350</v>
      </c>
      <c r="AN203" s="14">
        <f>VLOOKUP(D203,[1]财务部报表_有人事号!$A$2:$E$400,4,0)</f>
        <v>258.73</v>
      </c>
      <c r="AR203" t="str">
        <f>LOOKUP(D203,[2]contacts!$A$2:$A$400,[2]contacts!$G$2:$G$400)</f>
        <v>xfu@whu.edu.cn</v>
      </c>
    </row>
    <row r="204" spans="1:44">
      <c r="A204" s="5" t="s">
        <v>38</v>
      </c>
      <c r="B204" s="6" t="s">
        <v>39</v>
      </c>
      <c r="C204" s="6" t="s">
        <v>40</v>
      </c>
      <c r="D204" s="17" t="s">
        <v>438</v>
      </c>
      <c r="E204" s="6" t="s">
        <v>439</v>
      </c>
      <c r="F204" s="7">
        <v>720</v>
      </c>
      <c r="G204" s="7">
        <v>499</v>
      </c>
      <c r="H204" s="7">
        <v>2139</v>
      </c>
      <c r="I204" s="7">
        <v>56</v>
      </c>
      <c r="J204" s="7">
        <v>20</v>
      </c>
      <c r="K204" s="7">
        <v>0</v>
      </c>
      <c r="L204" s="7">
        <v>35.630000000000003</v>
      </c>
      <c r="M204" s="7">
        <v>0</v>
      </c>
      <c r="N204" s="7">
        <v>0</v>
      </c>
      <c r="O204" s="7">
        <v>206</v>
      </c>
      <c r="P204" s="7">
        <v>5</v>
      </c>
      <c r="Q204" s="7">
        <v>0</v>
      </c>
      <c r="R204" s="7">
        <v>0</v>
      </c>
      <c r="S204" s="7">
        <v>0</v>
      </c>
      <c r="T204" s="7">
        <v>3680.63</v>
      </c>
      <c r="U204" s="7">
        <v>0</v>
      </c>
      <c r="V204" s="7">
        <v>47.5</v>
      </c>
      <c r="W204" s="7">
        <v>27.96</v>
      </c>
      <c r="X204" s="7">
        <v>12.19</v>
      </c>
      <c r="Y204" s="7">
        <v>0</v>
      </c>
      <c r="Z204" s="7">
        <v>3.6</v>
      </c>
      <c r="AA204" s="7">
        <v>0</v>
      </c>
      <c r="AB204" s="7">
        <v>0</v>
      </c>
      <c r="AC204" s="7">
        <v>0</v>
      </c>
      <c r="AD204" s="7">
        <v>0</v>
      </c>
      <c r="AE204" s="7">
        <v>727</v>
      </c>
      <c r="AF204" s="7">
        <v>0</v>
      </c>
      <c r="AG204" s="7">
        <v>0</v>
      </c>
      <c r="AH204" s="7">
        <v>818.25</v>
      </c>
      <c r="AI204" s="7">
        <v>2862.82</v>
      </c>
      <c r="AJ204" s="7">
        <v>0.44</v>
      </c>
      <c r="AK204" s="7">
        <v>0.82</v>
      </c>
      <c r="AL204" s="8">
        <v>2862</v>
      </c>
      <c r="AM204" s="14">
        <f>VLOOKUP(D204,[1]财务部报表_有人事号!$A$2:$D$400,3,0)</f>
        <v>2630</v>
      </c>
      <c r="AN204" s="14">
        <f>VLOOKUP(D204,[1]财务部报表_有人事号!$A$2:$E$400,4,0)</f>
        <v>98.08</v>
      </c>
      <c r="AR204" t="str">
        <f>LOOKUP(D204,[2]contacts!$A$2:$A$400,[2]contacts!$G$2:$G$400)</f>
        <v>wrhes@whu.edu.cn</v>
      </c>
    </row>
    <row r="205" spans="1:44">
      <c r="A205" s="5" t="s">
        <v>38</v>
      </c>
      <c r="B205" s="6" t="s">
        <v>39</v>
      </c>
      <c r="C205" s="6" t="s">
        <v>40</v>
      </c>
      <c r="D205" s="17" t="s">
        <v>440</v>
      </c>
      <c r="E205" s="6" t="s">
        <v>441</v>
      </c>
      <c r="F205" s="7">
        <v>1040</v>
      </c>
      <c r="G205" s="7">
        <v>904</v>
      </c>
      <c r="H205" s="7">
        <v>2413</v>
      </c>
      <c r="I205" s="7">
        <v>56</v>
      </c>
      <c r="J205" s="7">
        <v>20</v>
      </c>
      <c r="K205" s="7">
        <v>0</v>
      </c>
      <c r="L205" s="7">
        <v>48.6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4481.6000000000004</v>
      </c>
      <c r="U205" s="7">
        <v>0</v>
      </c>
      <c r="V205" s="7">
        <v>0</v>
      </c>
      <c r="W205" s="7">
        <v>0</v>
      </c>
      <c r="X205" s="7">
        <v>19.440000000000001</v>
      </c>
      <c r="Y205" s="7">
        <v>0.32</v>
      </c>
      <c r="Z205" s="7">
        <v>5.2</v>
      </c>
      <c r="AA205" s="7">
        <v>0</v>
      </c>
      <c r="AB205" s="7">
        <v>0</v>
      </c>
      <c r="AC205" s="7">
        <v>0</v>
      </c>
      <c r="AD205" s="7">
        <v>0</v>
      </c>
      <c r="AE205" s="7">
        <v>903</v>
      </c>
      <c r="AF205" s="7">
        <v>0</v>
      </c>
      <c r="AG205" s="7">
        <v>0</v>
      </c>
      <c r="AH205" s="7">
        <v>927.96</v>
      </c>
      <c r="AI205" s="7">
        <v>3553.83</v>
      </c>
      <c r="AJ205" s="7">
        <v>0.19</v>
      </c>
      <c r="AK205" s="7">
        <v>0.83</v>
      </c>
      <c r="AL205" s="8">
        <v>3553</v>
      </c>
      <c r="AM205" s="14">
        <f>VLOOKUP(D205,[1]财务部报表_有人事号!$A$2:$D$400,3,0)</f>
        <v>2100</v>
      </c>
      <c r="AN205" s="14">
        <f>VLOOKUP(D205,[1]财务部报表_有人事号!$A$2:$E$400,4,0)</f>
        <v>105.74000000000001</v>
      </c>
      <c r="AR205" t="str">
        <f>LOOKUP(D205,[2]contacts!$A$2:$A$400,[2]contacts!$G$2:$G$400)</f>
        <v>scgao@whu.edu.cn</v>
      </c>
    </row>
    <row r="206" spans="1:44">
      <c r="A206" s="5" t="s">
        <v>38</v>
      </c>
      <c r="B206" s="6" t="s">
        <v>39</v>
      </c>
      <c r="C206" s="6" t="s">
        <v>40</v>
      </c>
      <c r="D206" s="17" t="s">
        <v>442</v>
      </c>
      <c r="E206" s="6" t="s">
        <v>443</v>
      </c>
      <c r="F206" s="7">
        <v>1630</v>
      </c>
      <c r="G206" s="7">
        <v>1109</v>
      </c>
      <c r="H206" s="7">
        <v>2961</v>
      </c>
      <c r="I206" s="7">
        <v>56</v>
      </c>
      <c r="J206" s="7">
        <v>0</v>
      </c>
      <c r="K206" s="7">
        <v>0</v>
      </c>
      <c r="L206" s="7">
        <v>68.48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5824.48</v>
      </c>
      <c r="U206" s="7">
        <v>0</v>
      </c>
      <c r="V206" s="7">
        <v>262.2</v>
      </c>
      <c r="W206" s="7">
        <v>197.54</v>
      </c>
      <c r="X206" s="7">
        <v>27.39</v>
      </c>
      <c r="Y206" s="7">
        <v>31.07</v>
      </c>
      <c r="Z206" s="7">
        <v>8.15</v>
      </c>
      <c r="AA206" s="7">
        <v>0</v>
      </c>
      <c r="AB206" s="7">
        <v>0</v>
      </c>
      <c r="AC206" s="7">
        <v>0</v>
      </c>
      <c r="AD206" s="7">
        <v>0</v>
      </c>
      <c r="AE206" s="7">
        <v>1193</v>
      </c>
      <c r="AF206" s="7">
        <v>0</v>
      </c>
      <c r="AG206" s="7">
        <v>0</v>
      </c>
      <c r="AH206" s="7">
        <v>1719.35</v>
      </c>
      <c r="AI206" s="7">
        <v>4105.57</v>
      </c>
      <c r="AJ206" s="7">
        <v>0.44</v>
      </c>
      <c r="AK206" s="7">
        <v>0.56999999999999995</v>
      </c>
      <c r="AL206" s="8">
        <v>4105</v>
      </c>
      <c r="AM206" s="14">
        <f>VLOOKUP(D206,[1]财务部报表_有人事号!$A$2:$D$400,3,0)</f>
        <v>5350</v>
      </c>
      <c r="AN206" s="14">
        <f>VLOOKUP(D206,[1]财务部报表_有人事号!$A$2:$E$400,4,0)</f>
        <v>691.05</v>
      </c>
      <c r="AR206" t="str">
        <f>LOOKUP(D206,[2]contacts!$A$2:$A$400,[2]contacts!$G$2:$G$400)</f>
        <v>ydmei@whu.edu.cn</v>
      </c>
    </row>
    <row r="207" spans="1:44">
      <c r="A207" s="5" t="s">
        <v>38</v>
      </c>
      <c r="B207" s="6" t="s">
        <v>39</v>
      </c>
      <c r="C207" s="6" t="s">
        <v>40</v>
      </c>
      <c r="D207" s="17" t="s">
        <v>444</v>
      </c>
      <c r="E207" s="6" t="s">
        <v>445</v>
      </c>
      <c r="F207" s="7">
        <v>1420</v>
      </c>
      <c r="G207" s="7">
        <v>1024</v>
      </c>
      <c r="H207" s="7">
        <v>2779</v>
      </c>
      <c r="I207" s="7">
        <v>56</v>
      </c>
      <c r="J207" s="7">
        <v>0</v>
      </c>
      <c r="K207" s="7">
        <v>0</v>
      </c>
      <c r="L207" s="7">
        <v>61.1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5340.1</v>
      </c>
      <c r="U207" s="7">
        <v>0</v>
      </c>
      <c r="V207" s="7">
        <v>267.89999999999998</v>
      </c>
      <c r="W207" s="7">
        <v>121.97</v>
      </c>
      <c r="X207" s="7">
        <v>24.44</v>
      </c>
      <c r="Y207" s="7">
        <v>20.149999999999999</v>
      </c>
      <c r="Z207" s="7">
        <v>7.1</v>
      </c>
      <c r="AA207" s="7">
        <v>0</v>
      </c>
      <c r="AB207" s="7">
        <v>0</v>
      </c>
      <c r="AC207" s="7">
        <v>0</v>
      </c>
      <c r="AD207" s="7">
        <v>0</v>
      </c>
      <c r="AE207" s="7">
        <v>1083</v>
      </c>
      <c r="AF207" s="7">
        <v>0</v>
      </c>
      <c r="AG207" s="7">
        <v>0</v>
      </c>
      <c r="AH207" s="7">
        <v>1524.56</v>
      </c>
      <c r="AI207" s="7">
        <v>3816.44</v>
      </c>
      <c r="AJ207" s="7">
        <v>0.9</v>
      </c>
      <c r="AK207" s="7">
        <v>0.44</v>
      </c>
      <c r="AL207" s="8">
        <v>3816</v>
      </c>
      <c r="AM207" s="14">
        <f>VLOOKUP(D207,[1]财务部报表_有人事号!$A$2:$D$400,3,0)</f>
        <v>3350</v>
      </c>
      <c r="AN207" s="14">
        <f>VLOOKUP(D207,[1]财务部报表_有人事号!$A$2:$E$400,4,0)</f>
        <v>277.01000000000005</v>
      </c>
      <c r="AR207" t="str">
        <f>LOOKUP(D207,[2]contacts!$A$2:$A$400,[2]contacts!$G$2:$G$400)</f>
        <v>csl_csl@263.net</v>
      </c>
    </row>
    <row r="208" spans="1:44">
      <c r="A208" s="5" t="s">
        <v>38</v>
      </c>
      <c r="B208" s="6" t="s">
        <v>39</v>
      </c>
      <c r="C208" s="6" t="s">
        <v>40</v>
      </c>
      <c r="D208" s="17" t="s">
        <v>446</v>
      </c>
      <c r="E208" s="6" t="s">
        <v>447</v>
      </c>
      <c r="F208" s="7">
        <v>1180</v>
      </c>
      <c r="G208" s="7">
        <v>1024</v>
      </c>
      <c r="H208" s="7">
        <v>2468</v>
      </c>
      <c r="I208" s="7">
        <v>56</v>
      </c>
      <c r="J208" s="7">
        <v>0</v>
      </c>
      <c r="K208" s="7">
        <v>0</v>
      </c>
      <c r="L208" s="7">
        <v>55.1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4783.1000000000004</v>
      </c>
      <c r="U208" s="7">
        <v>0</v>
      </c>
      <c r="V208" s="7">
        <v>100.7</v>
      </c>
      <c r="W208" s="7">
        <v>91.03</v>
      </c>
      <c r="X208" s="7">
        <v>22.04</v>
      </c>
      <c r="Y208" s="7">
        <v>6.87</v>
      </c>
      <c r="Z208" s="7">
        <v>5.9</v>
      </c>
      <c r="AA208" s="7">
        <v>0</v>
      </c>
      <c r="AB208" s="7">
        <v>0</v>
      </c>
      <c r="AC208" s="7">
        <v>0</v>
      </c>
      <c r="AD208" s="7">
        <v>0</v>
      </c>
      <c r="AE208" s="7">
        <v>977</v>
      </c>
      <c r="AF208" s="7">
        <v>0</v>
      </c>
      <c r="AG208" s="7">
        <v>0</v>
      </c>
      <c r="AH208" s="7">
        <v>1203.54</v>
      </c>
      <c r="AI208" s="7">
        <v>3579.77</v>
      </c>
      <c r="AJ208" s="7">
        <v>0.21</v>
      </c>
      <c r="AK208" s="7">
        <v>0.77</v>
      </c>
      <c r="AL208" s="8">
        <v>3579</v>
      </c>
      <c r="AM208" s="14">
        <f>VLOOKUP(D208,[1]财务部报表_有人事号!$A$2:$D$400,3,0)</f>
        <v>2300</v>
      </c>
      <c r="AN208" s="14">
        <f>VLOOKUP(D208,[1]财务部报表_有人事号!$A$2:$E$400,4,0)</f>
        <v>141.03</v>
      </c>
      <c r="AR208" t="str">
        <f>LOOKUP(D208,[2]contacts!$A$2:$A$400,[2]contacts!$G$2:$G$400)</f>
        <v>1097972914@qq.com</v>
      </c>
    </row>
    <row r="209" spans="1:44">
      <c r="A209" s="5" t="s">
        <v>38</v>
      </c>
      <c r="B209" s="6" t="s">
        <v>39</v>
      </c>
      <c r="C209" s="6" t="s">
        <v>40</v>
      </c>
      <c r="D209" s="17" t="s">
        <v>448</v>
      </c>
      <c r="E209" s="6" t="s">
        <v>449</v>
      </c>
      <c r="F209" s="7">
        <v>930</v>
      </c>
      <c r="G209" s="7">
        <v>499</v>
      </c>
      <c r="H209" s="7">
        <v>2376</v>
      </c>
      <c r="I209" s="7">
        <v>56</v>
      </c>
      <c r="J209" s="7">
        <v>0</v>
      </c>
      <c r="K209" s="7">
        <v>0</v>
      </c>
      <c r="L209" s="7">
        <v>35.729999999999997</v>
      </c>
      <c r="M209" s="7">
        <v>0</v>
      </c>
      <c r="N209" s="7">
        <v>0</v>
      </c>
      <c r="O209" s="7">
        <v>0</v>
      </c>
      <c r="P209" s="7">
        <v>5</v>
      </c>
      <c r="Q209" s="7">
        <v>0</v>
      </c>
      <c r="R209" s="7">
        <v>0</v>
      </c>
      <c r="S209" s="7">
        <v>0</v>
      </c>
      <c r="T209" s="7">
        <v>3901.73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3901.73</v>
      </c>
      <c r="AD209" s="7">
        <v>0</v>
      </c>
      <c r="AE209" s="7">
        <v>0</v>
      </c>
      <c r="AF209" s="7">
        <v>0</v>
      </c>
      <c r="AG209" s="7">
        <v>0</v>
      </c>
      <c r="AH209" s="7">
        <v>3901.73</v>
      </c>
      <c r="AI209" s="7">
        <v>0.18</v>
      </c>
      <c r="AJ209" s="7">
        <v>0.18</v>
      </c>
      <c r="AK209" s="7">
        <v>0.18</v>
      </c>
      <c r="AL209" s="8">
        <v>0</v>
      </c>
      <c r="AM209" s="14">
        <f>VLOOKUP(D209,[1]财务部报表_有人事号!$A$2:$D$400,3,0)</f>
        <v>1950</v>
      </c>
      <c r="AN209" s="14">
        <f>VLOOKUP(D209,[1]财务部报表_有人事号!$A$2:$E$400,4,0)</f>
        <v>0</v>
      </c>
      <c r="AR209" t="str">
        <f>LOOKUP(D209,[2]contacts!$A$2:$A$400,[2]contacts!$G$2:$G$400)</f>
        <v>xsai@whu.edu.cn</v>
      </c>
    </row>
    <row r="210" spans="1:44">
      <c r="A210" s="5" t="s">
        <v>38</v>
      </c>
      <c r="B210" s="6" t="s">
        <v>39</v>
      </c>
      <c r="C210" s="6" t="s">
        <v>40</v>
      </c>
      <c r="D210" s="17" t="s">
        <v>450</v>
      </c>
      <c r="E210" s="6" t="s">
        <v>451</v>
      </c>
      <c r="F210" s="7">
        <v>730</v>
      </c>
      <c r="G210" s="7">
        <v>471</v>
      </c>
      <c r="H210" s="7">
        <v>2102</v>
      </c>
      <c r="I210" s="7">
        <v>56</v>
      </c>
      <c r="J210" s="7">
        <v>0</v>
      </c>
      <c r="K210" s="7">
        <v>0</v>
      </c>
      <c r="L210" s="7">
        <v>30.03</v>
      </c>
      <c r="M210" s="7">
        <v>0</v>
      </c>
      <c r="N210" s="7">
        <v>0</v>
      </c>
      <c r="O210" s="7">
        <v>0</v>
      </c>
      <c r="P210" s="7">
        <v>5</v>
      </c>
      <c r="Q210" s="7">
        <v>0</v>
      </c>
      <c r="R210" s="7">
        <v>0</v>
      </c>
      <c r="S210" s="7">
        <v>0</v>
      </c>
      <c r="T210" s="7">
        <v>3394.03</v>
      </c>
      <c r="U210" s="7">
        <v>50</v>
      </c>
      <c r="V210" s="7">
        <v>0</v>
      </c>
      <c r="W210" s="7">
        <v>25.58</v>
      </c>
      <c r="X210" s="7">
        <v>12.01</v>
      </c>
      <c r="Y210" s="7">
        <v>0</v>
      </c>
      <c r="Z210" s="7">
        <v>3.65</v>
      </c>
      <c r="AA210" s="7">
        <v>0</v>
      </c>
      <c r="AB210" s="7">
        <v>0</v>
      </c>
      <c r="AC210" s="7">
        <v>0</v>
      </c>
      <c r="AD210" s="7">
        <v>0</v>
      </c>
      <c r="AE210" s="7">
        <v>665</v>
      </c>
      <c r="AF210" s="7">
        <v>0</v>
      </c>
      <c r="AG210" s="7">
        <v>0</v>
      </c>
      <c r="AH210" s="7">
        <v>756.24</v>
      </c>
      <c r="AI210" s="7">
        <v>2638.37</v>
      </c>
      <c r="AJ210" s="7">
        <v>0.57999999999999996</v>
      </c>
      <c r="AK210" s="7">
        <v>0.37</v>
      </c>
      <c r="AL210" s="8">
        <v>2638</v>
      </c>
      <c r="AM210" s="14">
        <f>VLOOKUP(D210,[1]财务部报表_有人事号!$A$2:$D$400,3,0)</f>
        <v>1430</v>
      </c>
      <c r="AN210" s="14">
        <f>VLOOKUP(D210,[1]财务部报表_有人事号!$A$2:$E$400,4,0)</f>
        <v>18.36</v>
      </c>
      <c r="AR210" t="str">
        <f>LOOKUP(D210,[2]contacts!$A$2:$A$400,[2]contacts!$G$2:$G$400)</f>
        <v>wanbiao@whu.edu.cn</v>
      </c>
    </row>
    <row r="211" spans="1:44">
      <c r="A211" s="5" t="s">
        <v>38</v>
      </c>
      <c r="B211" s="6" t="s">
        <v>39</v>
      </c>
      <c r="C211" s="6" t="s">
        <v>40</v>
      </c>
      <c r="D211" s="17" t="s">
        <v>452</v>
      </c>
      <c r="E211" s="6" t="s">
        <v>453</v>
      </c>
      <c r="F211" s="7">
        <v>780</v>
      </c>
      <c r="G211" s="7">
        <v>673</v>
      </c>
      <c r="H211" s="7">
        <v>2139</v>
      </c>
      <c r="I211" s="7">
        <v>56</v>
      </c>
      <c r="J211" s="7">
        <v>0</v>
      </c>
      <c r="K211" s="7">
        <v>0</v>
      </c>
      <c r="L211" s="7">
        <v>36.33</v>
      </c>
      <c r="M211" s="7">
        <v>0</v>
      </c>
      <c r="N211" s="7">
        <v>0</v>
      </c>
      <c r="O211" s="7">
        <v>0</v>
      </c>
      <c r="P211" s="7">
        <v>5</v>
      </c>
      <c r="Q211" s="7">
        <v>0</v>
      </c>
      <c r="R211" s="7">
        <v>0</v>
      </c>
      <c r="S211" s="7">
        <v>0</v>
      </c>
      <c r="T211" s="7">
        <v>3689.33</v>
      </c>
      <c r="U211" s="7">
        <v>0</v>
      </c>
      <c r="V211" s="7">
        <v>0</v>
      </c>
      <c r="W211" s="7">
        <v>0</v>
      </c>
      <c r="X211" s="7">
        <v>14.53</v>
      </c>
      <c r="Y211" s="7">
        <v>0</v>
      </c>
      <c r="Z211" s="7">
        <v>3.9</v>
      </c>
      <c r="AA211" s="7">
        <v>0</v>
      </c>
      <c r="AB211" s="7">
        <v>0</v>
      </c>
      <c r="AC211" s="7">
        <v>0</v>
      </c>
      <c r="AD211" s="7">
        <v>0</v>
      </c>
      <c r="AE211" s="7">
        <v>734</v>
      </c>
      <c r="AF211" s="7">
        <v>0</v>
      </c>
      <c r="AG211" s="7">
        <v>0</v>
      </c>
      <c r="AH211" s="7">
        <v>752.43</v>
      </c>
      <c r="AI211" s="7">
        <v>2937.53</v>
      </c>
      <c r="AJ211" s="7">
        <v>0.63</v>
      </c>
      <c r="AK211" s="7">
        <v>0.53</v>
      </c>
      <c r="AL211" s="8">
        <v>2937</v>
      </c>
      <c r="AM211" s="14">
        <f>VLOOKUP(D211,[1]财务部报表_有人事号!$A$2:$D$400,3,0)</f>
        <v>1580</v>
      </c>
      <c r="AN211" s="14">
        <f>VLOOKUP(D211,[1]财务部报表_有人事号!$A$2:$E$400,4,0)</f>
        <v>29.38</v>
      </c>
      <c r="AR211" t="str">
        <f>LOOKUP(D211,[2]contacts!$A$2:$A$400,[2]contacts!$G$2:$G$400)</f>
        <v>wdmayong@163.com</v>
      </c>
    </row>
    <row r="212" spans="1:44">
      <c r="A212" s="5" t="s">
        <v>38</v>
      </c>
      <c r="B212" s="6" t="s">
        <v>39</v>
      </c>
      <c r="C212" s="6" t="s">
        <v>40</v>
      </c>
      <c r="D212" s="17" t="s">
        <v>454</v>
      </c>
      <c r="E212" s="6" t="s">
        <v>455</v>
      </c>
      <c r="F212" s="7">
        <v>930</v>
      </c>
      <c r="G212" s="7">
        <v>799</v>
      </c>
      <c r="H212" s="7">
        <v>2376</v>
      </c>
      <c r="I212" s="7">
        <v>56</v>
      </c>
      <c r="J212" s="7">
        <v>20</v>
      </c>
      <c r="K212" s="7">
        <v>0</v>
      </c>
      <c r="L212" s="7">
        <v>43.23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4224.2299999999996</v>
      </c>
      <c r="U212" s="7">
        <v>0</v>
      </c>
      <c r="V212" s="7">
        <v>0</v>
      </c>
      <c r="W212" s="7">
        <v>28.56</v>
      </c>
      <c r="X212" s="7">
        <v>17.29</v>
      </c>
      <c r="Y212" s="7">
        <v>0</v>
      </c>
      <c r="Z212" s="7">
        <v>4.6500000000000004</v>
      </c>
      <c r="AA212" s="7">
        <v>0</v>
      </c>
      <c r="AB212" s="7">
        <v>0</v>
      </c>
      <c r="AC212" s="7">
        <v>0</v>
      </c>
      <c r="AD212" s="7">
        <v>0</v>
      </c>
      <c r="AE212" s="7">
        <v>843</v>
      </c>
      <c r="AF212" s="7">
        <v>0</v>
      </c>
      <c r="AG212" s="7">
        <v>0</v>
      </c>
      <c r="AH212" s="7">
        <v>893.5</v>
      </c>
      <c r="AI212" s="7">
        <v>3331.45</v>
      </c>
      <c r="AJ212" s="7">
        <v>0.72</v>
      </c>
      <c r="AK212" s="7">
        <v>0.45</v>
      </c>
      <c r="AL212" s="8">
        <v>3331</v>
      </c>
      <c r="AM212" s="14">
        <f>VLOOKUP(D212,[1]财务部报表_有人事号!$A$2:$D$400,3,0)</f>
        <v>1950</v>
      </c>
      <c r="AN212" s="14">
        <f>VLOOKUP(D212,[1]财务部报表_有人事号!$A$2:$E$400,4,0)</f>
        <v>72.069999999999993</v>
      </c>
      <c r="AR212" t="str">
        <f>LOOKUP(D212,[2]contacts!$A$2:$A$400,[2]contacts!$G$2:$G$400)</f>
        <v>hydrau@whu.edu.cn</v>
      </c>
    </row>
    <row r="213" spans="1:44">
      <c r="A213" s="5" t="s">
        <v>38</v>
      </c>
      <c r="B213" s="6" t="s">
        <v>39</v>
      </c>
      <c r="C213" s="6" t="s">
        <v>40</v>
      </c>
      <c r="D213" s="17" t="s">
        <v>456</v>
      </c>
      <c r="E213" s="6" t="s">
        <v>457</v>
      </c>
      <c r="F213" s="7">
        <v>1420</v>
      </c>
      <c r="G213" s="7">
        <v>1024</v>
      </c>
      <c r="H213" s="7">
        <v>2779</v>
      </c>
      <c r="I213" s="7">
        <v>56</v>
      </c>
      <c r="J213" s="7">
        <v>0</v>
      </c>
      <c r="K213" s="7">
        <v>0</v>
      </c>
      <c r="L213" s="7">
        <v>61.1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5340.1</v>
      </c>
      <c r="U213" s="7">
        <v>0</v>
      </c>
      <c r="V213" s="7">
        <v>79.8</v>
      </c>
      <c r="W213" s="7">
        <v>0</v>
      </c>
      <c r="X213" s="7">
        <v>24.44</v>
      </c>
      <c r="Y213" s="7">
        <v>20.149999999999999</v>
      </c>
      <c r="Z213" s="7">
        <v>7.1</v>
      </c>
      <c r="AA213" s="7">
        <v>0</v>
      </c>
      <c r="AB213" s="7">
        <v>0</v>
      </c>
      <c r="AC213" s="7">
        <v>0</v>
      </c>
      <c r="AD213" s="7">
        <v>0</v>
      </c>
      <c r="AE213" s="7">
        <v>1083</v>
      </c>
      <c r="AF213" s="7">
        <v>0</v>
      </c>
      <c r="AG213" s="7">
        <v>0</v>
      </c>
      <c r="AH213" s="7">
        <v>1214.49</v>
      </c>
      <c r="AI213" s="7">
        <v>4126.07</v>
      </c>
      <c r="AJ213" s="7">
        <v>0.46</v>
      </c>
      <c r="AK213" s="7">
        <v>7.0000000000000007E-2</v>
      </c>
      <c r="AL213" s="8">
        <v>4126</v>
      </c>
      <c r="AM213" s="14">
        <f>VLOOKUP(D213,[1]财务部报表_有人事号!$A$2:$D$400,3,0)</f>
        <v>3350</v>
      </c>
      <c r="AN213" s="14">
        <f>VLOOKUP(D213,[1]财务部报表_有人事号!$A$2:$E$400,4,0)</f>
        <v>277.01000000000005</v>
      </c>
      <c r="AR213" t="str">
        <f>LOOKUP(D213,[2]contacts!$A$2:$A$400,[2]contacts!$G$2:$G$400)</f>
        <v>hshh2@126.com</v>
      </c>
    </row>
    <row r="214" spans="1:44">
      <c r="A214" s="5" t="s">
        <v>38</v>
      </c>
      <c r="B214" s="6" t="s">
        <v>39</v>
      </c>
      <c r="C214" s="6" t="s">
        <v>40</v>
      </c>
      <c r="D214" s="17" t="s">
        <v>458</v>
      </c>
      <c r="E214" s="6" t="s">
        <v>459</v>
      </c>
      <c r="F214" s="7">
        <v>1180</v>
      </c>
      <c r="G214" s="7">
        <v>1109</v>
      </c>
      <c r="H214" s="7">
        <v>2468</v>
      </c>
      <c r="I214" s="7">
        <v>56</v>
      </c>
      <c r="J214" s="7">
        <v>0</v>
      </c>
      <c r="K214" s="7">
        <v>0</v>
      </c>
      <c r="L214" s="7">
        <v>57.23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4870.2299999999996</v>
      </c>
      <c r="U214" s="7">
        <v>0</v>
      </c>
      <c r="V214" s="7">
        <v>0</v>
      </c>
      <c r="W214" s="7">
        <v>3.57</v>
      </c>
      <c r="X214" s="7">
        <v>22.89</v>
      </c>
      <c r="Y214" s="7">
        <v>8.76</v>
      </c>
      <c r="Z214" s="7">
        <v>5.9</v>
      </c>
      <c r="AA214" s="7">
        <v>0</v>
      </c>
      <c r="AB214" s="7">
        <v>0</v>
      </c>
      <c r="AC214" s="7">
        <v>0</v>
      </c>
      <c r="AD214" s="7">
        <v>0</v>
      </c>
      <c r="AE214" s="7">
        <v>998</v>
      </c>
      <c r="AF214" s="7">
        <v>0</v>
      </c>
      <c r="AG214" s="7">
        <v>0</v>
      </c>
      <c r="AH214" s="7">
        <v>1039.1199999999999</v>
      </c>
      <c r="AI214" s="7">
        <v>3831.53</v>
      </c>
      <c r="AJ214" s="7">
        <v>0.42</v>
      </c>
      <c r="AK214" s="7">
        <v>0.53</v>
      </c>
      <c r="AL214" s="8">
        <v>3831</v>
      </c>
      <c r="AM214" s="14">
        <f>VLOOKUP(D214,[1]财务部报表_有人事号!$A$2:$D$400,3,0)</f>
        <v>2300</v>
      </c>
      <c r="AN214" s="14">
        <f>VLOOKUP(D214,[1]财务部报表_有人事号!$A$2:$E$400,4,0)</f>
        <v>145.45000000000002</v>
      </c>
      <c r="AR214" t="str">
        <f>LOOKUP(D214,[2]contacts!$A$2:$A$400,[2]contacts!$G$2:$G$400)</f>
        <v>erqi@whu.edu.cn</v>
      </c>
    </row>
    <row r="215" spans="1:44">
      <c r="A215" s="5" t="s">
        <v>38</v>
      </c>
      <c r="B215" s="6" t="s">
        <v>39</v>
      </c>
      <c r="C215" s="6" t="s">
        <v>40</v>
      </c>
      <c r="D215" s="17" t="s">
        <v>460</v>
      </c>
      <c r="E215" s="6" t="s">
        <v>461</v>
      </c>
      <c r="F215" s="7">
        <v>1180</v>
      </c>
      <c r="G215" s="7">
        <v>1109</v>
      </c>
      <c r="H215" s="7">
        <v>2468</v>
      </c>
      <c r="I215" s="7">
        <v>56</v>
      </c>
      <c r="J215" s="7">
        <v>0</v>
      </c>
      <c r="K215" s="7">
        <v>0</v>
      </c>
      <c r="L215" s="7">
        <v>57.23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4870.2299999999996</v>
      </c>
      <c r="U215" s="7">
        <v>0</v>
      </c>
      <c r="V215" s="7">
        <v>0</v>
      </c>
      <c r="W215" s="7">
        <v>122.57</v>
      </c>
      <c r="X215" s="7">
        <v>22.89</v>
      </c>
      <c r="Y215" s="7">
        <v>8.76</v>
      </c>
      <c r="Z215" s="7">
        <v>5.9</v>
      </c>
      <c r="AA215" s="7">
        <v>0</v>
      </c>
      <c r="AB215" s="7">
        <v>0</v>
      </c>
      <c r="AC215" s="7">
        <v>0</v>
      </c>
      <c r="AD215" s="7">
        <v>0</v>
      </c>
      <c r="AE215" s="7">
        <v>998</v>
      </c>
      <c r="AF215" s="7">
        <v>0</v>
      </c>
      <c r="AG215" s="7">
        <v>0</v>
      </c>
      <c r="AH215" s="7">
        <v>1158.1199999999999</v>
      </c>
      <c r="AI215" s="7">
        <v>3712.63</v>
      </c>
      <c r="AJ215" s="7">
        <v>0.52</v>
      </c>
      <c r="AK215" s="7">
        <v>0.63</v>
      </c>
      <c r="AL215" s="8">
        <v>3712</v>
      </c>
      <c r="AM215" s="14">
        <f>VLOOKUP(D215,[1]财务部报表_有人事号!$A$2:$D$400,3,0)</f>
        <v>2300</v>
      </c>
      <c r="AN215" s="14">
        <f>VLOOKUP(D215,[1]财务部报表_有人事号!$A$2:$E$400,4,0)</f>
        <v>145.45000000000002</v>
      </c>
      <c r="AR215" t="str">
        <f>LOOKUP(D215,[2]contacts!$A$2:$A$400,[2]contacts!$G$2:$G$400)</f>
        <v>xzhao@whu.edu.cn</v>
      </c>
    </row>
    <row r="216" spans="1:44">
      <c r="A216" s="5" t="s">
        <v>38</v>
      </c>
      <c r="B216" s="6" t="s">
        <v>39</v>
      </c>
      <c r="C216" s="6" t="s">
        <v>40</v>
      </c>
      <c r="D216" s="17" t="s">
        <v>462</v>
      </c>
      <c r="E216" s="6" t="s">
        <v>463</v>
      </c>
      <c r="F216" s="7">
        <v>780</v>
      </c>
      <c r="G216" s="7">
        <v>643</v>
      </c>
      <c r="H216" s="7">
        <v>2139</v>
      </c>
      <c r="I216" s="7">
        <v>56</v>
      </c>
      <c r="J216" s="7">
        <v>20</v>
      </c>
      <c r="K216" s="7">
        <v>0</v>
      </c>
      <c r="L216" s="7">
        <v>35.58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3673.58</v>
      </c>
      <c r="U216" s="7">
        <v>0</v>
      </c>
      <c r="V216" s="7">
        <v>15.2</v>
      </c>
      <c r="W216" s="7">
        <v>33.909999999999997</v>
      </c>
      <c r="X216" s="7">
        <v>14.23</v>
      </c>
      <c r="Y216" s="7">
        <v>0</v>
      </c>
      <c r="Z216" s="7">
        <v>3.9</v>
      </c>
      <c r="AA216" s="7">
        <v>0</v>
      </c>
      <c r="AB216" s="7">
        <v>0</v>
      </c>
      <c r="AC216" s="7">
        <v>0</v>
      </c>
      <c r="AD216" s="7">
        <v>0</v>
      </c>
      <c r="AE216" s="7">
        <v>727</v>
      </c>
      <c r="AF216" s="7">
        <v>0</v>
      </c>
      <c r="AG216" s="7">
        <v>0</v>
      </c>
      <c r="AH216" s="7">
        <v>794.24</v>
      </c>
      <c r="AI216" s="7">
        <v>2879.35</v>
      </c>
      <c r="AJ216" s="7">
        <v>0.01</v>
      </c>
      <c r="AK216" s="7">
        <v>0.35</v>
      </c>
      <c r="AL216" s="8">
        <v>2879</v>
      </c>
      <c r="AM216" s="14">
        <f>VLOOKUP(D216,[1]财务部报表_有人事号!$A$2:$D$400,3,0)</f>
        <v>1580</v>
      </c>
      <c r="AN216" s="14">
        <f>VLOOKUP(D216,[1]财务部报表_有人事号!$A$2:$E$400,4,0)</f>
        <v>29.3</v>
      </c>
      <c r="AR216" t="str">
        <f>LOOKUP(D216,[2]contacts!$A$2:$A$400,[2]contacts!$G$2:$G$400)</f>
        <v>wangyuyan_99@sina.com</v>
      </c>
    </row>
    <row r="217" spans="1:44">
      <c r="A217" s="5" t="s">
        <v>38</v>
      </c>
      <c r="B217" s="6" t="s">
        <v>39</v>
      </c>
      <c r="C217" s="6" t="s">
        <v>40</v>
      </c>
      <c r="D217" s="17" t="s">
        <v>464</v>
      </c>
      <c r="E217" s="6" t="s">
        <v>465</v>
      </c>
      <c r="F217" s="7">
        <v>1900</v>
      </c>
      <c r="G217" s="7">
        <v>1244</v>
      </c>
      <c r="H217" s="7">
        <v>3108</v>
      </c>
      <c r="I217" s="7">
        <v>56</v>
      </c>
      <c r="J217" s="7">
        <v>0</v>
      </c>
      <c r="K217" s="7">
        <v>0</v>
      </c>
      <c r="L217" s="7">
        <v>78.599999999999994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6386.6</v>
      </c>
      <c r="U217" s="7">
        <v>0</v>
      </c>
      <c r="V217" s="7">
        <v>123.5</v>
      </c>
      <c r="W217" s="7">
        <v>112.45</v>
      </c>
      <c r="X217" s="7">
        <v>31.44</v>
      </c>
      <c r="Y217" s="7">
        <v>43.73</v>
      </c>
      <c r="Z217" s="7">
        <v>9.5</v>
      </c>
      <c r="AA217" s="7">
        <v>0</v>
      </c>
      <c r="AB217" s="7">
        <v>0</v>
      </c>
      <c r="AC217" s="7">
        <v>0</v>
      </c>
      <c r="AD217" s="7">
        <v>0</v>
      </c>
      <c r="AE217" s="7">
        <v>1319</v>
      </c>
      <c r="AF217" s="7">
        <v>0</v>
      </c>
      <c r="AG217" s="7">
        <v>0</v>
      </c>
      <c r="AH217" s="7">
        <v>1639.62</v>
      </c>
      <c r="AI217" s="7">
        <v>4747.09</v>
      </c>
      <c r="AJ217" s="7">
        <v>0.11</v>
      </c>
      <c r="AK217" s="7">
        <v>0.09</v>
      </c>
      <c r="AL217" s="8">
        <v>4747</v>
      </c>
      <c r="AM217" s="14">
        <f>VLOOKUP(D217,[1]财务部报表_有人事号!$A$2:$D$400,3,0)</f>
        <v>4950</v>
      </c>
      <c r="AN217" s="14">
        <f>VLOOKUP(D217,[1]财务部报表_有人事号!$A$2:$E$400,4,0)</f>
        <v>682.78</v>
      </c>
      <c r="AR217" t="str">
        <f>LOOKUP(D217,[2]contacts!$A$2:$A$400,[2]contacts!$G$2:$G$400)</f>
        <v>wxhuai@whu.edu.cn</v>
      </c>
    </row>
    <row r="218" spans="1:44">
      <c r="A218" s="5" t="s">
        <v>38</v>
      </c>
      <c r="B218" s="6" t="s">
        <v>39</v>
      </c>
      <c r="C218" s="6" t="s">
        <v>40</v>
      </c>
      <c r="D218" s="17" t="s">
        <v>466</v>
      </c>
      <c r="E218" s="6" t="s">
        <v>467</v>
      </c>
      <c r="F218" s="7">
        <v>1180</v>
      </c>
      <c r="G218" s="7">
        <v>904</v>
      </c>
      <c r="H218" s="7">
        <v>2468</v>
      </c>
      <c r="I218" s="7">
        <v>56</v>
      </c>
      <c r="J218" s="7">
        <v>0</v>
      </c>
      <c r="K218" s="7">
        <v>0</v>
      </c>
      <c r="L218" s="7">
        <v>52.1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4660.1000000000004</v>
      </c>
      <c r="U218" s="7">
        <v>0</v>
      </c>
      <c r="V218" s="7">
        <v>366.7</v>
      </c>
      <c r="W218" s="7">
        <v>60.69</v>
      </c>
      <c r="X218" s="7">
        <v>20.84</v>
      </c>
      <c r="Y218" s="7">
        <v>4.2</v>
      </c>
      <c r="Z218" s="7">
        <v>5.9</v>
      </c>
      <c r="AA218" s="7">
        <v>0</v>
      </c>
      <c r="AB218" s="7">
        <v>0</v>
      </c>
      <c r="AC218" s="7">
        <v>0</v>
      </c>
      <c r="AD218" s="7">
        <v>0</v>
      </c>
      <c r="AE218" s="7">
        <v>947</v>
      </c>
      <c r="AF218" s="7">
        <v>0</v>
      </c>
      <c r="AG218" s="7">
        <v>0</v>
      </c>
      <c r="AH218" s="7">
        <v>1405.33</v>
      </c>
      <c r="AI218" s="7">
        <v>3255.03</v>
      </c>
      <c r="AJ218" s="7">
        <v>0.26</v>
      </c>
      <c r="AK218" s="7">
        <v>0.03</v>
      </c>
      <c r="AL218" s="8">
        <v>3255</v>
      </c>
      <c r="AM218" s="14">
        <f>VLOOKUP(D218,[1]财务部报表_有人事号!$A$2:$D$400,3,0)</f>
        <v>2300</v>
      </c>
      <c r="AN218" s="14">
        <f>VLOOKUP(D218,[1]财务部报表_有人事号!$A$2:$E$400,4,0)</f>
        <v>134.82000000000002</v>
      </c>
      <c r="AR218" t="str">
        <f>LOOKUP(D218,[2]contacts!$A$2:$A$400,[2]contacts!$G$2:$G$400)</f>
        <v>yangxt@whu.edu.cn</v>
      </c>
    </row>
    <row r="219" spans="1:44">
      <c r="A219" s="5" t="s">
        <v>38</v>
      </c>
      <c r="B219" s="6" t="s">
        <v>39</v>
      </c>
      <c r="C219" s="6" t="s">
        <v>40</v>
      </c>
      <c r="D219" s="17" t="s">
        <v>468</v>
      </c>
      <c r="E219" s="6" t="s">
        <v>469</v>
      </c>
      <c r="F219" s="7">
        <v>615</v>
      </c>
      <c r="G219" s="7">
        <v>530</v>
      </c>
      <c r="H219" s="7">
        <v>1919</v>
      </c>
      <c r="I219" s="7">
        <v>56</v>
      </c>
      <c r="J219" s="7">
        <v>20</v>
      </c>
      <c r="K219" s="7">
        <v>0</v>
      </c>
      <c r="L219" s="7">
        <v>28.63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3168.63</v>
      </c>
      <c r="U219" s="7">
        <v>0</v>
      </c>
      <c r="V219" s="7">
        <v>0</v>
      </c>
      <c r="W219" s="7">
        <v>0</v>
      </c>
      <c r="X219" s="7">
        <v>11.45</v>
      </c>
      <c r="Y219" s="7">
        <v>0</v>
      </c>
      <c r="Z219" s="7">
        <v>3.08</v>
      </c>
      <c r="AA219" s="7">
        <v>0</v>
      </c>
      <c r="AB219" s="7">
        <v>0</v>
      </c>
      <c r="AC219" s="7">
        <v>0</v>
      </c>
      <c r="AD219" s="7">
        <v>0</v>
      </c>
      <c r="AE219" s="7">
        <v>618</v>
      </c>
      <c r="AF219" s="7">
        <v>0</v>
      </c>
      <c r="AG219" s="7">
        <v>0</v>
      </c>
      <c r="AH219" s="7">
        <v>632.53</v>
      </c>
      <c r="AI219" s="7">
        <v>2536.9699999999998</v>
      </c>
      <c r="AJ219" s="7">
        <v>0.87</v>
      </c>
      <c r="AK219" s="7">
        <v>0.97</v>
      </c>
      <c r="AL219" s="8">
        <v>2536</v>
      </c>
      <c r="AM219" s="14">
        <f>VLOOKUP(D219,[1]财务部报表_有人事号!$A$2:$D$400,3,0)</f>
        <v>1050</v>
      </c>
      <c r="AN219" s="14">
        <f>VLOOKUP(D219,[1]财务部报表_有人事号!$A$2:$E$400,4,0)</f>
        <v>1.82</v>
      </c>
      <c r="AR219" t="str">
        <f>LOOKUP(D219,[2]contacts!$A$2:$A$400,[2]contacts!$G$2:$G$400)</f>
        <v>00011695@whu.edu.cn</v>
      </c>
    </row>
    <row r="220" spans="1:44">
      <c r="A220" s="5" t="s">
        <v>38</v>
      </c>
      <c r="B220" s="6" t="s">
        <v>39</v>
      </c>
      <c r="C220" s="6" t="s">
        <v>40</v>
      </c>
      <c r="D220" s="17" t="s">
        <v>470</v>
      </c>
      <c r="E220" s="6" t="s">
        <v>471</v>
      </c>
      <c r="F220" s="7">
        <v>620</v>
      </c>
      <c r="G220" s="7">
        <v>767</v>
      </c>
      <c r="H220" s="7">
        <v>0</v>
      </c>
      <c r="I220" s="7">
        <v>56</v>
      </c>
      <c r="J220" s="7">
        <v>20</v>
      </c>
      <c r="K220" s="7">
        <v>1970</v>
      </c>
      <c r="L220" s="7">
        <v>34.68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3467.68</v>
      </c>
      <c r="U220" s="7">
        <v>0</v>
      </c>
      <c r="V220" s="7">
        <v>0</v>
      </c>
      <c r="W220" s="7">
        <v>23.8</v>
      </c>
      <c r="X220" s="7">
        <v>13.87</v>
      </c>
      <c r="Y220" s="7">
        <v>0</v>
      </c>
      <c r="Z220" s="7">
        <v>3.1</v>
      </c>
      <c r="AA220" s="7">
        <v>0</v>
      </c>
      <c r="AB220" s="7">
        <v>0</v>
      </c>
      <c r="AC220" s="7">
        <v>0</v>
      </c>
      <c r="AD220" s="7">
        <v>0</v>
      </c>
      <c r="AE220" s="7">
        <v>841</v>
      </c>
      <c r="AF220" s="7">
        <v>0</v>
      </c>
      <c r="AG220" s="7">
        <v>0</v>
      </c>
      <c r="AH220" s="7">
        <v>881.77</v>
      </c>
      <c r="AI220" s="7">
        <v>2586.34</v>
      </c>
      <c r="AJ220" s="7">
        <v>0.43</v>
      </c>
      <c r="AK220" s="7">
        <v>0.34</v>
      </c>
      <c r="AL220" s="8">
        <v>2586</v>
      </c>
      <c r="AM220" s="14">
        <f>VLOOKUP(D220,[1]财务部报表_有人事号!$A$2:$D$400,3,0)</f>
        <v>660</v>
      </c>
      <c r="AN220" s="14">
        <f>VLOOKUP(D220,[1]财务部报表_有人事号!$A$2:$E$400,4,0)</f>
        <v>0</v>
      </c>
      <c r="AR220" t="str">
        <f>LOOKUP(D220,[2]contacts!$A$2:$A$400,[2]contacts!$G$2:$G$400)</f>
        <v>00011697@whu.edu.cn</v>
      </c>
    </row>
    <row r="221" spans="1:44">
      <c r="A221" s="5" t="s">
        <v>38</v>
      </c>
      <c r="B221" s="6" t="s">
        <v>39</v>
      </c>
      <c r="C221" s="6" t="s">
        <v>40</v>
      </c>
      <c r="D221" s="17" t="s">
        <v>472</v>
      </c>
      <c r="E221" s="6" t="s">
        <v>473</v>
      </c>
      <c r="F221" s="7">
        <v>1420</v>
      </c>
      <c r="G221" s="7">
        <v>944</v>
      </c>
      <c r="H221" s="7">
        <v>2779</v>
      </c>
      <c r="I221" s="7">
        <v>56</v>
      </c>
      <c r="J221" s="7">
        <v>0</v>
      </c>
      <c r="K221" s="7">
        <v>0</v>
      </c>
      <c r="L221" s="7">
        <v>59.1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5258.1</v>
      </c>
      <c r="U221" s="7">
        <v>0</v>
      </c>
      <c r="V221" s="7">
        <v>110.2</v>
      </c>
      <c r="W221" s="7">
        <v>93.41</v>
      </c>
      <c r="X221" s="7">
        <v>23.64</v>
      </c>
      <c r="Y221" s="7">
        <v>18.37</v>
      </c>
      <c r="Z221" s="7">
        <v>7.1</v>
      </c>
      <c r="AA221" s="7">
        <v>0</v>
      </c>
      <c r="AB221" s="7">
        <v>0</v>
      </c>
      <c r="AC221" s="7">
        <v>0</v>
      </c>
      <c r="AD221" s="7">
        <v>0</v>
      </c>
      <c r="AE221" s="7">
        <v>1063</v>
      </c>
      <c r="AF221" s="7">
        <v>0</v>
      </c>
      <c r="AG221" s="7">
        <v>0</v>
      </c>
      <c r="AH221" s="7">
        <v>1315.72</v>
      </c>
      <c r="AI221" s="7">
        <v>3942.9</v>
      </c>
      <c r="AJ221" s="7">
        <v>0.52</v>
      </c>
      <c r="AK221" s="7">
        <v>0.9</v>
      </c>
      <c r="AL221" s="8">
        <v>3942</v>
      </c>
      <c r="AM221" s="14">
        <f>VLOOKUP(D221,[1]财务部报表_有人事号!$A$2:$D$400,3,0)</f>
        <v>3350</v>
      </c>
      <c r="AN221" s="14">
        <f>VLOOKUP(D221,[1]财务部报表_有人事号!$A$2:$E$400,4,0)</f>
        <v>272.87</v>
      </c>
      <c r="AR221" t="str">
        <f>LOOKUP(D221,[2]contacts!$A$2:$A$400,[2]contacts!$G$2:$G$400)</f>
        <v>mdzhao@whu.edu.cn</v>
      </c>
    </row>
    <row r="222" spans="1:44">
      <c r="A222" s="5" t="s">
        <v>38</v>
      </c>
      <c r="B222" s="6" t="s">
        <v>39</v>
      </c>
      <c r="C222" s="6" t="s">
        <v>40</v>
      </c>
      <c r="D222" s="17" t="s">
        <v>474</v>
      </c>
      <c r="E222" s="6" t="s">
        <v>475</v>
      </c>
      <c r="F222" s="7">
        <v>615</v>
      </c>
      <c r="G222" s="7">
        <v>774</v>
      </c>
      <c r="H222" s="7">
        <v>0</v>
      </c>
      <c r="I222" s="7">
        <v>56</v>
      </c>
      <c r="J222" s="7">
        <v>0</v>
      </c>
      <c r="K222" s="7">
        <v>1994</v>
      </c>
      <c r="L222" s="7">
        <v>34.729999999999997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3473.73</v>
      </c>
      <c r="U222" s="7">
        <v>0</v>
      </c>
      <c r="V222" s="7">
        <v>0</v>
      </c>
      <c r="W222" s="7">
        <v>187.42</v>
      </c>
      <c r="X222" s="7">
        <v>13.89</v>
      </c>
      <c r="Y222" s="7">
        <v>0</v>
      </c>
      <c r="Z222" s="7">
        <v>3.08</v>
      </c>
      <c r="AA222" s="7">
        <v>0</v>
      </c>
      <c r="AB222" s="7">
        <v>0</v>
      </c>
      <c r="AC222" s="7">
        <v>0</v>
      </c>
      <c r="AD222" s="7">
        <v>0</v>
      </c>
      <c r="AE222" s="7">
        <v>860</v>
      </c>
      <c r="AF222" s="7">
        <v>0</v>
      </c>
      <c r="AG222" s="7">
        <v>0</v>
      </c>
      <c r="AH222" s="7">
        <v>1064.3900000000001</v>
      </c>
      <c r="AI222" s="7">
        <v>2410.0100000000002</v>
      </c>
      <c r="AJ222" s="7">
        <v>0.67</v>
      </c>
      <c r="AK222" s="7">
        <v>0.01</v>
      </c>
      <c r="AL222" s="8">
        <v>2410</v>
      </c>
      <c r="AM222" s="14">
        <f>VLOOKUP(D222,[1]财务部报表_有人事号!$A$2:$D$400,3,0)</f>
        <v>540</v>
      </c>
      <c r="AN222" s="14">
        <f>VLOOKUP(D222,[1]财务部报表_有人事号!$A$2:$E$400,4,0)</f>
        <v>0</v>
      </c>
      <c r="AR222" t="str">
        <f>LOOKUP(D222,[2]contacts!$A$2:$A$400,[2]contacts!$G$2:$G$400)</f>
        <v>00011702@whu.edu.cn</v>
      </c>
    </row>
    <row r="223" spans="1:44">
      <c r="A223" s="5" t="s">
        <v>38</v>
      </c>
      <c r="B223" s="6" t="s">
        <v>39</v>
      </c>
      <c r="C223" s="6" t="s">
        <v>40</v>
      </c>
      <c r="D223" s="17" t="s">
        <v>476</v>
      </c>
      <c r="E223" s="6" t="s">
        <v>477</v>
      </c>
      <c r="F223" s="7">
        <v>1180</v>
      </c>
      <c r="G223" s="7">
        <v>944</v>
      </c>
      <c r="H223" s="7">
        <v>2468</v>
      </c>
      <c r="I223" s="7">
        <v>56</v>
      </c>
      <c r="J223" s="7">
        <v>0</v>
      </c>
      <c r="K223" s="7">
        <v>0</v>
      </c>
      <c r="L223" s="7">
        <v>53.1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4701.1000000000004</v>
      </c>
      <c r="U223" s="7">
        <v>0</v>
      </c>
      <c r="V223" s="7">
        <v>710.6</v>
      </c>
      <c r="W223" s="7">
        <v>1983.13</v>
      </c>
      <c r="X223" s="7">
        <v>21.24</v>
      </c>
      <c r="Y223" s="7">
        <v>5.09</v>
      </c>
      <c r="Z223" s="7">
        <v>5.9</v>
      </c>
      <c r="AA223" s="7">
        <v>0</v>
      </c>
      <c r="AB223" s="7">
        <v>0</v>
      </c>
      <c r="AC223" s="7">
        <v>0</v>
      </c>
      <c r="AD223" s="7">
        <v>0</v>
      </c>
      <c r="AE223" s="7">
        <v>957</v>
      </c>
      <c r="AF223" s="7">
        <v>0</v>
      </c>
      <c r="AG223" s="7">
        <v>0</v>
      </c>
      <c r="AH223" s="7">
        <v>3682.96</v>
      </c>
      <c r="AI223" s="7">
        <v>1018.77</v>
      </c>
      <c r="AJ223" s="7">
        <v>0.63</v>
      </c>
      <c r="AK223" s="7">
        <v>0.77</v>
      </c>
      <c r="AL223" s="8">
        <v>1018</v>
      </c>
      <c r="AM223" s="14">
        <f>VLOOKUP(D223,[1]财务部报表_有人事号!$A$2:$D$400,3,0)</f>
        <v>1900</v>
      </c>
      <c r="AN223" s="14">
        <f>VLOOKUP(D223,[1]财务部报表_有人事号!$A$2:$E$400,4,0)</f>
        <v>96.89</v>
      </c>
      <c r="AR223" t="str">
        <f>LOOKUP(D223,[2]contacts!$A$2:$A$400,[2]contacts!$G$2:$G$400)</f>
        <v>dhchen@whu.edu.cn</v>
      </c>
    </row>
    <row r="224" spans="1:44">
      <c r="A224" s="5" t="s">
        <v>38</v>
      </c>
      <c r="B224" s="6" t="s">
        <v>39</v>
      </c>
      <c r="C224" s="6" t="s">
        <v>40</v>
      </c>
      <c r="D224" s="17" t="s">
        <v>478</v>
      </c>
      <c r="E224" s="6" t="s">
        <v>479</v>
      </c>
      <c r="F224" s="7">
        <v>1420</v>
      </c>
      <c r="G224" s="7">
        <v>1154</v>
      </c>
      <c r="H224" s="7">
        <v>2779</v>
      </c>
      <c r="I224" s="7">
        <v>56</v>
      </c>
      <c r="J224" s="7">
        <v>0</v>
      </c>
      <c r="K224" s="7">
        <v>0</v>
      </c>
      <c r="L224" s="7">
        <v>64.349999999999994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5473.35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5473.35</v>
      </c>
      <c r="AD224" s="7">
        <v>0</v>
      </c>
      <c r="AE224" s="7">
        <v>0</v>
      </c>
      <c r="AF224" s="7">
        <v>0</v>
      </c>
      <c r="AG224" s="7">
        <v>0</v>
      </c>
      <c r="AH224" s="7">
        <v>5473.35</v>
      </c>
      <c r="AI224" s="7">
        <v>0</v>
      </c>
      <c r="AJ224" s="7">
        <v>0</v>
      </c>
      <c r="AK224" s="7">
        <v>0</v>
      </c>
      <c r="AL224" s="8">
        <v>0</v>
      </c>
      <c r="AM224" s="14" t="e">
        <f>VLOOKUP(D224,[1]财务部报表_有人事号!$A$2:$D$400,3,0)</f>
        <v>#N/A</v>
      </c>
      <c r="AN224" s="14" t="e">
        <f>VLOOKUP(D224,[1]财务部报表_有人事号!$A$2:$E$400,4,0)</f>
        <v>#N/A</v>
      </c>
      <c r="AR224" t="str">
        <f>LOOKUP(D224,[2]contacts!$A$2:$A$400,[2]contacts!$G$2:$G$400)</f>
        <v>dhchen@whu.edu.cn</v>
      </c>
    </row>
    <row r="225" spans="1:44">
      <c r="A225" s="5" t="s">
        <v>38</v>
      </c>
      <c r="B225" s="6" t="s">
        <v>39</v>
      </c>
      <c r="C225" s="6" t="s">
        <v>40</v>
      </c>
      <c r="D225" s="17" t="s">
        <v>480</v>
      </c>
      <c r="E225" s="6" t="s">
        <v>481</v>
      </c>
      <c r="F225" s="7">
        <v>730</v>
      </c>
      <c r="G225" s="7">
        <v>443</v>
      </c>
      <c r="H225" s="7">
        <v>2102</v>
      </c>
      <c r="I225" s="7">
        <v>56</v>
      </c>
      <c r="J225" s="7">
        <v>20</v>
      </c>
      <c r="K225" s="7">
        <v>0</v>
      </c>
      <c r="L225" s="7">
        <v>29.33</v>
      </c>
      <c r="M225" s="7">
        <v>0</v>
      </c>
      <c r="N225" s="7">
        <v>0</v>
      </c>
      <c r="O225" s="7">
        <v>0</v>
      </c>
      <c r="P225" s="7">
        <v>5</v>
      </c>
      <c r="Q225" s="7">
        <v>0</v>
      </c>
      <c r="R225" s="7">
        <v>0</v>
      </c>
      <c r="S225" s="7">
        <v>0</v>
      </c>
      <c r="T225" s="7">
        <v>3385.33</v>
      </c>
      <c r="U225" s="7">
        <v>100</v>
      </c>
      <c r="V225" s="7">
        <v>480.7</v>
      </c>
      <c r="W225" s="7">
        <v>83.3</v>
      </c>
      <c r="X225" s="7">
        <v>11.73</v>
      </c>
      <c r="Y225" s="7">
        <v>0</v>
      </c>
      <c r="Z225" s="7">
        <v>3.65</v>
      </c>
      <c r="AA225" s="7">
        <v>0</v>
      </c>
      <c r="AB225" s="7">
        <v>0</v>
      </c>
      <c r="AC225" s="7">
        <v>0</v>
      </c>
      <c r="AD225" s="7">
        <v>0</v>
      </c>
      <c r="AE225" s="7">
        <v>658</v>
      </c>
      <c r="AF225" s="7">
        <v>0</v>
      </c>
      <c r="AG225" s="7">
        <v>0</v>
      </c>
      <c r="AH225" s="7">
        <v>1337.38</v>
      </c>
      <c r="AI225" s="7">
        <v>2048.62</v>
      </c>
      <c r="AJ225" s="7">
        <v>0.67</v>
      </c>
      <c r="AK225" s="7">
        <v>0.62</v>
      </c>
      <c r="AL225" s="8">
        <v>2048</v>
      </c>
      <c r="AM225" s="14">
        <f>VLOOKUP(D225,[1]财务部报表_有人事号!$A$2:$D$400,3,0)</f>
        <v>2480</v>
      </c>
      <c r="AN225" s="14">
        <f>VLOOKUP(D225,[1]财务部报表_有人事号!$A$2:$E$400,4,0)</f>
        <v>61.13</v>
      </c>
      <c r="AR225" t="str">
        <f>LOOKUP(D225,[2]contacts!$A$2:$A$400,[2]contacts!$G$2:$G$400)</f>
        <v>dhchen@whu.edu.cn</v>
      </c>
    </row>
    <row r="226" spans="1:44">
      <c r="A226" s="5" t="s">
        <v>38</v>
      </c>
      <c r="B226" s="6" t="s">
        <v>39</v>
      </c>
      <c r="C226" s="6" t="s">
        <v>40</v>
      </c>
      <c r="D226" s="17" t="s">
        <v>482</v>
      </c>
      <c r="E226" s="6" t="s">
        <v>483</v>
      </c>
      <c r="F226" s="7">
        <v>1900</v>
      </c>
      <c r="G226" s="7">
        <v>1434</v>
      </c>
      <c r="H226" s="7">
        <v>3108</v>
      </c>
      <c r="I226" s="7">
        <v>56</v>
      </c>
      <c r="J226" s="7">
        <v>0</v>
      </c>
      <c r="K226" s="7">
        <v>0</v>
      </c>
      <c r="L226" s="7">
        <v>83.35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6581.35</v>
      </c>
      <c r="U226" s="7">
        <v>0</v>
      </c>
      <c r="V226" s="7">
        <v>0</v>
      </c>
      <c r="W226" s="7">
        <v>38.67</v>
      </c>
      <c r="X226" s="7">
        <v>33.340000000000003</v>
      </c>
      <c r="Y226" s="7">
        <v>54.87</v>
      </c>
      <c r="Z226" s="7">
        <v>9.5</v>
      </c>
      <c r="AA226" s="7">
        <v>0</v>
      </c>
      <c r="AB226" s="7">
        <v>0</v>
      </c>
      <c r="AC226" s="7">
        <v>0</v>
      </c>
      <c r="AD226" s="7">
        <v>0</v>
      </c>
      <c r="AE226" s="7">
        <v>1366</v>
      </c>
      <c r="AF226" s="7">
        <v>0</v>
      </c>
      <c r="AG226" s="7">
        <v>0</v>
      </c>
      <c r="AH226" s="7">
        <v>1502.38</v>
      </c>
      <c r="AI226" s="7">
        <v>5079.33</v>
      </c>
      <c r="AJ226" s="7">
        <v>0.36</v>
      </c>
      <c r="AK226" s="7">
        <v>0.33</v>
      </c>
      <c r="AL226" s="8">
        <v>5079</v>
      </c>
      <c r="AM226" s="14">
        <f>VLOOKUP(D226,[1]财务部报表_有人事号!$A$2:$D$400,3,0)</f>
        <v>4950</v>
      </c>
      <c r="AN226" s="14">
        <f>VLOOKUP(D226,[1]财务部报表_有人事号!$A$2:$E$400,4,0)</f>
        <v>699.86</v>
      </c>
      <c r="AR226" t="str">
        <f>LOOKUP(D226,[2]contacts!$A$2:$A$400,[2]contacts!$G$2:$G$400)</f>
        <v>ygl516@sina.com</v>
      </c>
    </row>
    <row r="227" spans="1:44">
      <c r="A227" s="5" t="s">
        <v>38</v>
      </c>
      <c r="B227" s="6" t="s">
        <v>39</v>
      </c>
      <c r="C227" s="6" t="s">
        <v>40</v>
      </c>
      <c r="D227" s="17" t="s">
        <v>484</v>
      </c>
      <c r="E227" s="6" t="s">
        <v>485</v>
      </c>
      <c r="F227" s="7">
        <v>1045</v>
      </c>
      <c r="G227" s="7">
        <v>613</v>
      </c>
      <c r="H227" s="7">
        <v>2779</v>
      </c>
      <c r="I227" s="7">
        <v>56</v>
      </c>
      <c r="J227" s="7">
        <v>0</v>
      </c>
      <c r="K227" s="7">
        <v>0</v>
      </c>
      <c r="L227" s="7">
        <v>43.55</v>
      </c>
      <c r="M227" s="7">
        <v>0</v>
      </c>
      <c r="N227" s="7">
        <v>0</v>
      </c>
      <c r="O227" s="7">
        <v>84</v>
      </c>
      <c r="P227" s="7">
        <v>5</v>
      </c>
      <c r="Q227" s="7">
        <v>0</v>
      </c>
      <c r="R227" s="7">
        <v>0</v>
      </c>
      <c r="S227" s="7">
        <v>0</v>
      </c>
      <c r="T227" s="7">
        <v>4625.55</v>
      </c>
      <c r="U227" s="7">
        <v>0</v>
      </c>
      <c r="V227" s="7">
        <v>0</v>
      </c>
      <c r="W227" s="7">
        <v>0</v>
      </c>
      <c r="X227" s="7">
        <v>16.579999999999998</v>
      </c>
      <c r="Y227" s="7">
        <v>4.5999999999999996</v>
      </c>
      <c r="Z227" s="7">
        <v>5.23</v>
      </c>
      <c r="AA227" s="7">
        <v>0</v>
      </c>
      <c r="AB227" s="7">
        <v>0</v>
      </c>
      <c r="AC227" s="7">
        <v>0</v>
      </c>
      <c r="AD227" s="7">
        <v>0</v>
      </c>
      <c r="AE227" s="7">
        <v>907</v>
      </c>
      <c r="AF227" s="7">
        <v>0</v>
      </c>
      <c r="AG227" s="7">
        <v>0</v>
      </c>
      <c r="AH227" s="7">
        <v>933.41</v>
      </c>
      <c r="AI227" s="7">
        <v>3692.37</v>
      </c>
      <c r="AJ227" s="7">
        <v>0.23</v>
      </c>
      <c r="AK227" s="7">
        <v>0.37</v>
      </c>
      <c r="AL227" s="8">
        <v>3692</v>
      </c>
      <c r="AM227" s="14">
        <f>VLOOKUP(D227,[1]财务部报表_有人事号!$A$2:$D$400,3,0)</f>
        <v>5000</v>
      </c>
      <c r="AN227" s="14">
        <f>VLOOKUP(D227,[1]财务部报表_有人事号!$A$2:$E$400,4,0)</f>
        <v>471.08</v>
      </c>
      <c r="AR227" t="str">
        <f>LOOKUP(D227,[2]contacts!$A$2:$A$400,[2]contacts!$G$2:$G$400)</f>
        <v>qwq10@tom.com</v>
      </c>
    </row>
    <row r="228" spans="1:44">
      <c r="A228" s="5" t="s">
        <v>38</v>
      </c>
      <c r="B228" s="6" t="s">
        <v>39</v>
      </c>
      <c r="C228" s="6" t="s">
        <v>40</v>
      </c>
      <c r="D228" s="17" t="s">
        <v>486</v>
      </c>
      <c r="E228" s="6" t="s">
        <v>487</v>
      </c>
      <c r="F228" s="7">
        <v>1900</v>
      </c>
      <c r="G228" s="7">
        <v>1199</v>
      </c>
      <c r="H228" s="7">
        <v>3108</v>
      </c>
      <c r="I228" s="7">
        <v>56</v>
      </c>
      <c r="J228" s="7">
        <v>0</v>
      </c>
      <c r="K228" s="7">
        <v>0</v>
      </c>
      <c r="L228" s="7">
        <v>77.48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6340.48</v>
      </c>
      <c r="U228" s="7">
        <v>0</v>
      </c>
      <c r="V228" s="7">
        <v>161.5</v>
      </c>
      <c r="W228" s="7">
        <v>192.78</v>
      </c>
      <c r="X228" s="7">
        <v>30.99</v>
      </c>
      <c r="Y228" s="7">
        <v>42.75</v>
      </c>
      <c r="Z228" s="7">
        <v>9.5</v>
      </c>
      <c r="AA228" s="7">
        <v>0</v>
      </c>
      <c r="AB228" s="7">
        <v>0</v>
      </c>
      <c r="AC228" s="7">
        <v>0</v>
      </c>
      <c r="AD228" s="7">
        <v>0</v>
      </c>
      <c r="AE228" s="7">
        <v>1307</v>
      </c>
      <c r="AF228" s="7">
        <v>0</v>
      </c>
      <c r="AG228" s="7">
        <v>0</v>
      </c>
      <c r="AH228" s="7">
        <v>1744.52</v>
      </c>
      <c r="AI228" s="7">
        <v>4596.3999999999996</v>
      </c>
      <c r="AJ228" s="7">
        <v>0.44</v>
      </c>
      <c r="AK228" s="7">
        <v>0.4</v>
      </c>
      <c r="AL228" s="8">
        <v>4596</v>
      </c>
      <c r="AM228" s="14">
        <f>VLOOKUP(D228,[1]财务部报表_有人事号!$A$2:$D$400,3,0)</f>
        <v>7450</v>
      </c>
      <c r="AN228" s="14">
        <f>VLOOKUP(D228,[1]财务部报表_有人事号!$A$2:$E$400,4,0)</f>
        <v>1177.25</v>
      </c>
      <c r="AR228" t="str">
        <f>LOOKUP(D228,[2]contacts!$A$2:$A$400,[2]contacts!$G$2:$G$400)</f>
        <v>changxl@whu.edu.cn</v>
      </c>
    </row>
    <row r="229" spans="1:44">
      <c r="A229" s="5" t="s">
        <v>38</v>
      </c>
      <c r="B229" s="6" t="s">
        <v>39</v>
      </c>
      <c r="C229" s="6" t="s">
        <v>40</v>
      </c>
      <c r="D229" s="17" t="s">
        <v>488</v>
      </c>
      <c r="E229" s="6" t="s">
        <v>489</v>
      </c>
      <c r="F229" s="7">
        <v>850</v>
      </c>
      <c r="G229" s="7">
        <v>555</v>
      </c>
      <c r="H229" s="7">
        <v>2413</v>
      </c>
      <c r="I229" s="7">
        <v>56</v>
      </c>
      <c r="J229" s="7">
        <v>20</v>
      </c>
      <c r="K229" s="7">
        <v>0</v>
      </c>
      <c r="L229" s="7">
        <v>36.43</v>
      </c>
      <c r="M229" s="7">
        <v>0</v>
      </c>
      <c r="N229" s="7">
        <v>200</v>
      </c>
      <c r="O229" s="7">
        <v>52</v>
      </c>
      <c r="P229" s="7">
        <v>0</v>
      </c>
      <c r="Q229" s="7">
        <v>0</v>
      </c>
      <c r="R229" s="7">
        <v>0</v>
      </c>
      <c r="S229" s="7">
        <v>0</v>
      </c>
      <c r="T229" s="7">
        <v>4182.43</v>
      </c>
      <c r="U229" s="7">
        <v>0</v>
      </c>
      <c r="V229" s="7">
        <v>0</v>
      </c>
      <c r="W229" s="7">
        <v>0</v>
      </c>
      <c r="X229" s="7">
        <v>14.05</v>
      </c>
      <c r="Y229" s="7">
        <v>0</v>
      </c>
      <c r="Z229" s="7">
        <v>4.25</v>
      </c>
      <c r="AA229" s="7">
        <v>0</v>
      </c>
      <c r="AB229" s="7">
        <v>0</v>
      </c>
      <c r="AC229" s="7">
        <v>0</v>
      </c>
      <c r="AD229" s="7">
        <v>0</v>
      </c>
      <c r="AE229" s="7">
        <v>781</v>
      </c>
      <c r="AF229" s="7">
        <v>0</v>
      </c>
      <c r="AG229" s="7">
        <v>0</v>
      </c>
      <c r="AH229" s="7">
        <v>799.3</v>
      </c>
      <c r="AI229" s="7">
        <v>3383.4</v>
      </c>
      <c r="AJ229" s="7">
        <v>0.27</v>
      </c>
      <c r="AK229" s="7">
        <v>0.4</v>
      </c>
      <c r="AL229" s="8">
        <v>3383</v>
      </c>
      <c r="AM229" s="14">
        <f>VLOOKUP(D229,[1]财务部报表_有人事号!$A$2:$D$400,3,0)</f>
        <v>3950</v>
      </c>
      <c r="AN229" s="14">
        <f>VLOOKUP(D229,[1]财务部报表_有人事号!$A$2:$E$400,4,0)</f>
        <v>275.10000000000002</v>
      </c>
      <c r="AR229" t="str">
        <f>LOOKUP(D229,[2]contacts!$A$2:$A$400,[2]contacts!$G$2:$G$400)</f>
        <v>zhouyuxia@whu.edu.cn</v>
      </c>
    </row>
    <row r="230" spans="1:44">
      <c r="A230" s="5" t="s">
        <v>38</v>
      </c>
      <c r="B230" s="6" t="s">
        <v>39</v>
      </c>
      <c r="C230" s="6" t="s">
        <v>40</v>
      </c>
      <c r="D230" s="17" t="s">
        <v>490</v>
      </c>
      <c r="E230" s="6" t="s">
        <v>491</v>
      </c>
      <c r="F230" s="7">
        <v>2800</v>
      </c>
      <c r="G230" s="7">
        <v>2520</v>
      </c>
      <c r="H230" s="7">
        <v>3656</v>
      </c>
      <c r="I230" s="7">
        <v>56</v>
      </c>
      <c r="J230" s="7">
        <v>0</v>
      </c>
      <c r="K230" s="7">
        <v>0</v>
      </c>
      <c r="L230" s="7">
        <v>133</v>
      </c>
      <c r="M230" s="7">
        <v>0</v>
      </c>
      <c r="N230" s="7">
        <v>1000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10165</v>
      </c>
      <c r="U230" s="7">
        <v>0</v>
      </c>
      <c r="V230" s="7">
        <v>0</v>
      </c>
      <c r="W230" s="7">
        <v>51.77</v>
      </c>
      <c r="X230" s="7">
        <v>0</v>
      </c>
      <c r="Y230" s="7">
        <v>0</v>
      </c>
      <c r="Z230" s="7">
        <v>14</v>
      </c>
      <c r="AA230" s="7">
        <v>0</v>
      </c>
      <c r="AB230" s="7">
        <v>0</v>
      </c>
      <c r="AC230" s="7">
        <v>0</v>
      </c>
      <c r="AD230" s="7">
        <v>0</v>
      </c>
      <c r="AE230" s="7">
        <v>1369</v>
      </c>
      <c r="AF230" s="7">
        <v>0</v>
      </c>
      <c r="AG230" s="7">
        <v>0</v>
      </c>
      <c r="AH230" s="7">
        <v>1434.77</v>
      </c>
      <c r="AI230" s="7">
        <v>8730.51</v>
      </c>
      <c r="AJ230" s="7">
        <v>0.28000000000000003</v>
      </c>
      <c r="AK230" s="7">
        <v>0.51</v>
      </c>
      <c r="AL230" s="8">
        <v>8730</v>
      </c>
      <c r="AM230" s="14">
        <f>VLOOKUP(D230,[1]财务部报表_有人事号!$A$2:$D$400,3,0)</f>
        <v>20000</v>
      </c>
      <c r="AN230" s="14">
        <f>VLOOKUP(D230,[1]财务部报表_有人事号!$A$2:$E$400,4,0)</f>
        <v>0</v>
      </c>
      <c r="AR230" t="str">
        <f>LOOKUP(D230,[2]contacts!$A$2:$A$400,[2]contacts!$G$2:$G$400)</f>
        <v>maozhi@whu.edu.cn</v>
      </c>
    </row>
    <row r="231" spans="1:44">
      <c r="A231" s="5" t="s">
        <v>38</v>
      </c>
      <c r="B231" s="6" t="s">
        <v>39</v>
      </c>
      <c r="C231" s="6" t="s">
        <v>40</v>
      </c>
      <c r="D231" s="17" t="s">
        <v>492</v>
      </c>
      <c r="E231" s="6" t="s">
        <v>493</v>
      </c>
      <c r="F231" s="7">
        <v>730</v>
      </c>
      <c r="G231" s="7">
        <v>365</v>
      </c>
      <c r="H231" s="7">
        <v>2102</v>
      </c>
      <c r="I231" s="7">
        <v>56</v>
      </c>
      <c r="J231" s="7">
        <v>0</v>
      </c>
      <c r="K231" s="7">
        <v>0</v>
      </c>
      <c r="L231" s="7">
        <v>27.38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3280.38</v>
      </c>
      <c r="U231" s="7">
        <v>0</v>
      </c>
      <c r="V231" s="7">
        <v>0</v>
      </c>
      <c r="W231" s="7">
        <v>0</v>
      </c>
      <c r="X231" s="7">
        <v>10.95</v>
      </c>
      <c r="Y231" s="7">
        <v>0</v>
      </c>
      <c r="Z231" s="7">
        <v>3.65</v>
      </c>
      <c r="AA231" s="7">
        <v>0</v>
      </c>
      <c r="AB231" s="7">
        <v>0</v>
      </c>
      <c r="AC231" s="7">
        <v>0</v>
      </c>
      <c r="AD231" s="7">
        <v>0</v>
      </c>
      <c r="AE231" s="7">
        <v>639</v>
      </c>
      <c r="AF231" s="7">
        <v>0</v>
      </c>
      <c r="AG231" s="7">
        <v>0</v>
      </c>
      <c r="AH231" s="7">
        <v>653.6</v>
      </c>
      <c r="AI231" s="7">
        <v>2627.23</v>
      </c>
      <c r="AJ231" s="7">
        <v>0.45</v>
      </c>
      <c r="AK231" s="7">
        <v>0.23</v>
      </c>
      <c r="AL231" s="8">
        <v>2627</v>
      </c>
      <c r="AM231" s="14">
        <f>VLOOKUP(D231,[1]财务部报表_有人事号!$A$2:$D$400,3,0)</f>
        <v>1580</v>
      </c>
      <c r="AN231" s="14">
        <f>VLOOKUP(D231,[1]财务部报表_有人事号!$A$2:$E$400,4,0)</f>
        <v>20.49</v>
      </c>
      <c r="AR231" t="str">
        <f>LOOKUP(D231,[2]contacts!$A$2:$A$400,[2]contacts!$G$2:$G$400)</f>
        <v>zhangyj1015@whu.edu.cn</v>
      </c>
    </row>
    <row r="232" spans="1:44">
      <c r="A232" s="5" t="s">
        <v>38</v>
      </c>
      <c r="B232" s="6" t="s">
        <v>39</v>
      </c>
      <c r="C232" s="6" t="s">
        <v>40</v>
      </c>
      <c r="D232" s="17" t="s">
        <v>494</v>
      </c>
      <c r="E232" s="6" t="s">
        <v>495</v>
      </c>
      <c r="F232" s="7">
        <v>730</v>
      </c>
      <c r="G232" s="7">
        <v>317</v>
      </c>
      <c r="H232" s="7">
        <v>2102</v>
      </c>
      <c r="I232" s="7">
        <v>56</v>
      </c>
      <c r="J232" s="7">
        <v>0</v>
      </c>
      <c r="K232" s="7">
        <v>0</v>
      </c>
      <c r="L232" s="7">
        <v>26.18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3231.18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3231.34</v>
      </c>
      <c r="AJ232" s="7">
        <v>0.16</v>
      </c>
      <c r="AK232" s="7">
        <v>0.34</v>
      </c>
      <c r="AL232" s="8">
        <v>3231</v>
      </c>
      <c r="AM232" s="14">
        <f>VLOOKUP(D232,[1]财务部报表_有人事号!$A$2:$D$400,3,0)</f>
        <v>2000</v>
      </c>
      <c r="AN232" s="14">
        <f>VLOOKUP(D232,[1]财务部报表_有人事号!$A$2:$E$400,4,0)</f>
        <v>12.15</v>
      </c>
      <c r="AR232" t="str">
        <f>LOOKUP(D232,[2]contacts!$A$2:$A$400,[2]contacts!$G$2:$G$400)</f>
        <v>00030234@whu.edu.cn</v>
      </c>
    </row>
    <row r="233" spans="1:44">
      <c r="A233" s="5" t="s">
        <v>38</v>
      </c>
      <c r="B233" s="6" t="s">
        <v>39</v>
      </c>
      <c r="C233" s="6" t="s">
        <v>40</v>
      </c>
      <c r="D233" s="17" t="s">
        <v>496</v>
      </c>
      <c r="E233" s="6" t="s">
        <v>497</v>
      </c>
      <c r="F233" s="7">
        <v>930</v>
      </c>
      <c r="G233" s="7">
        <v>391</v>
      </c>
      <c r="H233" s="7">
        <v>2376</v>
      </c>
      <c r="I233" s="7">
        <v>56</v>
      </c>
      <c r="J233" s="7">
        <v>20</v>
      </c>
      <c r="K233" s="7">
        <v>0</v>
      </c>
      <c r="L233" s="7">
        <v>33.020000000000003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3806.02</v>
      </c>
      <c r="U233" s="7">
        <v>0</v>
      </c>
      <c r="V233" s="7">
        <v>0</v>
      </c>
      <c r="W233" s="7">
        <v>0</v>
      </c>
      <c r="X233" s="7">
        <v>13.21</v>
      </c>
      <c r="Y233" s="7">
        <v>0</v>
      </c>
      <c r="Z233" s="7">
        <v>4.6500000000000004</v>
      </c>
      <c r="AA233" s="7">
        <v>0</v>
      </c>
      <c r="AB233" s="7">
        <v>0</v>
      </c>
      <c r="AC233" s="7">
        <v>0</v>
      </c>
      <c r="AD233" s="7">
        <v>0</v>
      </c>
      <c r="AE233" s="7">
        <v>741</v>
      </c>
      <c r="AF233" s="7">
        <v>0</v>
      </c>
      <c r="AG233" s="7">
        <v>0</v>
      </c>
      <c r="AH233" s="7">
        <v>758.86</v>
      </c>
      <c r="AI233" s="7">
        <v>3047.78</v>
      </c>
      <c r="AJ233" s="7">
        <v>0.62</v>
      </c>
      <c r="AK233" s="7">
        <v>0.78</v>
      </c>
      <c r="AL233" s="8">
        <v>3047</v>
      </c>
      <c r="AM233" s="14">
        <f>VLOOKUP(D233,[1]财务部报表_有人事号!$A$2:$D$400,3,0)</f>
        <v>1950</v>
      </c>
      <c r="AN233" s="14">
        <f>VLOOKUP(D233,[1]财务部报表_有人事号!$A$2:$E$400,4,0)</f>
        <v>44.06</v>
      </c>
      <c r="AR233" t="str">
        <f>LOOKUP(D233,[2]contacts!$A$2:$A$400,[2]contacts!$G$2:$G$400)</f>
        <v>linlin.wh@whu.edu.cn</v>
      </c>
    </row>
    <row r="234" spans="1:44">
      <c r="A234" s="5" t="s">
        <v>38</v>
      </c>
      <c r="B234" s="6" t="s">
        <v>39</v>
      </c>
      <c r="C234" s="6" t="s">
        <v>40</v>
      </c>
      <c r="D234" s="17" t="s">
        <v>498</v>
      </c>
      <c r="E234" s="6" t="s">
        <v>499</v>
      </c>
      <c r="F234" s="7">
        <v>770</v>
      </c>
      <c r="G234" s="7">
        <v>0</v>
      </c>
      <c r="H234" s="7">
        <v>1864</v>
      </c>
      <c r="I234" s="7">
        <v>56</v>
      </c>
      <c r="J234" s="7">
        <v>20</v>
      </c>
      <c r="K234" s="7">
        <v>0</v>
      </c>
      <c r="L234" s="7">
        <v>19.25</v>
      </c>
      <c r="M234" s="7">
        <v>0</v>
      </c>
      <c r="N234" s="7">
        <v>200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2929.25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3.85</v>
      </c>
      <c r="AA234" s="7">
        <v>0</v>
      </c>
      <c r="AB234" s="7">
        <v>234.7</v>
      </c>
      <c r="AC234" s="7">
        <v>0</v>
      </c>
      <c r="AD234" s="7">
        <v>0</v>
      </c>
      <c r="AE234" s="7">
        <v>517</v>
      </c>
      <c r="AF234" s="7">
        <v>0</v>
      </c>
      <c r="AG234" s="7">
        <v>0</v>
      </c>
      <c r="AH234" s="7">
        <v>755.55</v>
      </c>
      <c r="AI234" s="7">
        <v>2174.4499999999998</v>
      </c>
      <c r="AJ234" s="7">
        <v>0.75</v>
      </c>
      <c r="AK234" s="7">
        <v>0.45</v>
      </c>
      <c r="AL234" s="8">
        <v>2174</v>
      </c>
      <c r="AM234" s="14">
        <f>VLOOKUP(D234,[1]财务部报表_有人事号!$A$2:$D$400,3,0)</f>
        <v>1800</v>
      </c>
      <c r="AN234" s="14">
        <f>VLOOKUP(D234,[1]财务部报表_有人事号!$A$2:$E$400,4,0)</f>
        <v>13.75</v>
      </c>
      <c r="AR234" t="str">
        <f>LOOKUP(D234,[2]contacts!$A$2:$A$400,[2]contacts!$G$2:$G$400)</f>
        <v>xiangzhaowh@126.com</v>
      </c>
    </row>
    <row r="235" spans="1:44">
      <c r="A235" s="5" t="s">
        <v>38</v>
      </c>
      <c r="B235" s="6" t="s">
        <v>39</v>
      </c>
      <c r="C235" s="6" t="s">
        <v>40</v>
      </c>
      <c r="D235" s="17" t="s">
        <v>500</v>
      </c>
      <c r="E235" s="6" t="s">
        <v>501</v>
      </c>
      <c r="F235" s="7">
        <v>770</v>
      </c>
      <c r="G235" s="7">
        <v>0</v>
      </c>
      <c r="H235" s="7">
        <v>1882</v>
      </c>
      <c r="I235" s="7">
        <v>56</v>
      </c>
      <c r="J235" s="7">
        <v>20</v>
      </c>
      <c r="K235" s="7">
        <v>0</v>
      </c>
      <c r="L235" s="7">
        <v>19.25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2747.25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3.85</v>
      </c>
      <c r="AA235" s="7">
        <v>0</v>
      </c>
      <c r="AB235" s="7">
        <v>236.13</v>
      </c>
      <c r="AC235" s="7">
        <v>0</v>
      </c>
      <c r="AD235" s="7">
        <v>0</v>
      </c>
      <c r="AE235" s="7">
        <v>520</v>
      </c>
      <c r="AF235" s="7">
        <v>0</v>
      </c>
      <c r="AG235" s="7">
        <v>0</v>
      </c>
      <c r="AH235" s="7">
        <v>759.98</v>
      </c>
      <c r="AI235" s="7">
        <v>1987.72</v>
      </c>
      <c r="AJ235" s="7">
        <v>0.45</v>
      </c>
      <c r="AK235" s="7">
        <v>0.72</v>
      </c>
      <c r="AL235" s="8">
        <v>1987</v>
      </c>
      <c r="AM235" s="14">
        <f>VLOOKUP(D235,[1]财务部报表_有人事号!$A$2:$D$400,3,0)</f>
        <v>1700</v>
      </c>
      <c r="AN235" s="14">
        <f>VLOOKUP(D235,[1]财务部报表_有人事号!$A$2:$E$400,4,0)</f>
        <v>5.16</v>
      </c>
      <c r="AR235" t="str">
        <f>LOOKUP(D235,[2]contacts!$A$2:$A$400,[2]contacts!$G$2:$G$400)</f>
        <v>1210059216@qq.com</v>
      </c>
    </row>
    <row r="236" spans="1:44">
      <c r="A236" s="5" t="s">
        <v>38</v>
      </c>
      <c r="B236" s="6" t="s">
        <v>39</v>
      </c>
      <c r="C236" s="6" t="s">
        <v>40</v>
      </c>
      <c r="D236" s="17" t="s">
        <v>502</v>
      </c>
      <c r="E236" s="6" t="s">
        <v>503</v>
      </c>
      <c r="F236" s="7">
        <v>590</v>
      </c>
      <c r="G236" s="7">
        <v>215</v>
      </c>
      <c r="H236" s="7">
        <v>1882</v>
      </c>
      <c r="I236" s="7">
        <v>56</v>
      </c>
      <c r="J236" s="7">
        <v>20</v>
      </c>
      <c r="K236" s="7">
        <v>0</v>
      </c>
      <c r="L236" s="7">
        <v>20.12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2783.12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2.95</v>
      </c>
      <c r="AA236" s="7">
        <v>0</v>
      </c>
      <c r="AB236" s="7">
        <v>239.98</v>
      </c>
      <c r="AC236" s="7">
        <v>0</v>
      </c>
      <c r="AD236" s="7">
        <v>0</v>
      </c>
      <c r="AE236" s="7">
        <v>529</v>
      </c>
      <c r="AF236" s="7">
        <v>0</v>
      </c>
      <c r="AG236" s="7">
        <v>0</v>
      </c>
      <c r="AH236" s="7">
        <v>771.93</v>
      </c>
      <c r="AI236" s="7">
        <v>2011.89</v>
      </c>
      <c r="AJ236" s="7">
        <v>0.7</v>
      </c>
      <c r="AK236" s="7">
        <v>0.89</v>
      </c>
      <c r="AL236" s="8">
        <v>2011</v>
      </c>
      <c r="AM236" s="14">
        <f>VLOOKUP(D236,[1]财务部报表_有人事号!$A$2:$D$400,3,0)</f>
        <v>2200</v>
      </c>
      <c r="AN236" s="14">
        <f>VLOOKUP(D236,[1]财务部报表_有人事号!$A$2:$E$400,4,0)</f>
        <v>20.82</v>
      </c>
      <c r="AR236" t="str">
        <f>LOOKUP(D236,[2]contacts!$A$2:$A$400,[2]contacts!$G$2:$G$400)</f>
        <v>1210059216@qq.com</v>
      </c>
    </row>
    <row r="237" spans="1:44">
      <c r="A237" s="5" t="s">
        <v>38</v>
      </c>
      <c r="B237" s="6" t="s">
        <v>39</v>
      </c>
      <c r="C237" s="6" t="s">
        <v>40</v>
      </c>
      <c r="D237" s="17" t="s">
        <v>504</v>
      </c>
      <c r="E237" s="6" t="s">
        <v>111</v>
      </c>
      <c r="F237" s="7">
        <v>590</v>
      </c>
      <c r="G237" s="7">
        <v>273</v>
      </c>
      <c r="H237" s="7">
        <v>1882</v>
      </c>
      <c r="I237" s="7">
        <v>56</v>
      </c>
      <c r="J237" s="7">
        <v>20</v>
      </c>
      <c r="K237" s="7">
        <v>0</v>
      </c>
      <c r="L237" s="7">
        <v>21.57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2842.57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2.95</v>
      </c>
      <c r="AA237" s="7">
        <v>0</v>
      </c>
      <c r="AB237" s="7">
        <v>246.36</v>
      </c>
      <c r="AC237" s="7">
        <v>0</v>
      </c>
      <c r="AD237" s="7">
        <v>0</v>
      </c>
      <c r="AE237" s="7">
        <v>544</v>
      </c>
      <c r="AF237" s="7">
        <v>0</v>
      </c>
      <c r="AG237" s="7">
        <v>0</v>
      </c>
      <c r="AH237" s="7">
        <v>793.31</v>
      </c>
      <c r="AI237" s="7">
        <v>2049.66</v>
      </c>
      <c r="AJ237" s="7">
        <v>0.4</v>
      </c>
      <c r="AK237" s="7">
        <v>0.66</v>
      </c>
      <c r="AL237" s="8">
        <v>2049</v>
      </c>
      <c r="AM237" s="14">
        <f>VLOOKUP(D237,[1]财务部报表_有人事号!$A$2:$D$400,3,0)</f>
        <v>1700</v>
      </c>
      <c r="AN237" s="14">
        <f>VLOOKUP(D237,[1]财务部报表_有人事号!$A$2:$E$400,4,0)</f>
        <v>6.92</v>
      </c>
      <c r="AR237" t="str">
        <f>LOOKUP(D237,[2]contacts!$A$2:$A$400,[2]contacts!$G$2:$G$400)</f>
        <v>609826700@qq.com</v>
      </c>
    </row>
    <row r="238" spans="1:44">
      <c r="A238" s="5" t="s">
        <v>38</v>
      </c>
      <c r="B238" s="6" t="s">
        <v>39</v>
      </c>
      <c r="C238" s="6" t="s">
        <v>40</v>
      </c>
      <c r="D238" s="17" t="s">
        <v>505</v>
      </c>
      <c r="E238" s="6" t="s">
        <v>506</v>
      </c>
      <c r="F238" s="7">
        <v>770</v>
      </c>
      <c r="G238" s="7">
        <v>0</v>
      </c>
      <c r="H238" s="7">
        <v>1864</v>
      </c>
      <c r="I238" s="7">
        <v>56</v>
      </c>
      <c r="J238" s="7">
        <v>20</v>
      </c>
      <c r="K238" s="7">
        <v>0</v>
      </c>
      <c r="L238" s="7">
        <v>19.25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2729.25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3.85</v>
      </c>
      <c r="AA238" s="7">
        <v>0</v>
      </c>
      <c r="AB238" s="7">
        <v>234.7</v>
      </c>
      <c r="AC238" s="7">
        <v>0</v>
      </c>
      <c r="AD238" s="7">
        <v>0</v>
      </c>
      <c r="AE238" s="7">
        <v>517</v>
      </c>
      <c r="AF238" s="7">
        <v>0</v>
      </c>
      <c r="AG238" s="7">
        <v>0</v>
      </c>
      <c r="AH238" s="7">
        <v>755.55</v>
      </c>
      <c r="AI238" s="7">
        <v>1974.55</v>
      </c>
      <c r="AJ238" s="7">
        <v>0.85</v>
      </c>
      <c r="AK238" s="7">
        <v>0.55000000000000004</v>
      </c>
      <c r="AL238" s="8">
        <v>1974</v>
      </c>
      <c r="AM238" s="14">
        <f>VLOOKUP(D238,[1]财务部报表_有人事号!$A$2:$D$400,3,0)</f>
        <v>1700</v>
      </c>
      <c r="AN238" s="14">
        <f>VLOOKUP(D238,[1]财务部报表_有人事号!$A$2:$E$400,4,0)</f>
        <v>4.75</v>
      </c>
      <c r="AR238" t="str">
        <f>LOOKUP(D238,[2]contacts!$A$2:$A$400,[2]contacts!$G$2:$G$400)</f>
        <v>44827568@qq.com</v>
      </c>
    </row>
    <row r="239" spans="1:44">
      <c r="A239" s="5" t="s">
        <v>38</v>
      </c>
      <c r="B239" s="6" t="s">
        <v>39</v>
      </c>
      <c r="C239" s="6" t="s">
        <v>40</v>
      </c>
      <c r="D239" s="17" t="s">
        <v>507</v>
      </c>
      <c r="E239" s="6" t="s">
        <v>508</v>
      </c>
      <c r="F239" s="7">
        <v>730</v>
      </c>
      <c r="G239" s="7">
        <v>317</v>
      </c>
      <c r="H239" s="7">
        <v>2102</v>
      </c>
      <c r="I239" s="7">
        <v>56</v>
      </c>
      <c r="J239" s="7">
        <v>0</v>
      </c>
      <c r="K239" s="7">
        <v>0</v>
      </c>
      <c r="L239" s="7">
        <v>526.17999999999995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3731.18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3731.98</v>
      </c>
      <c r="AJ239" s="7">
        <v>0.8</v>
      </c>
      <c r="AK239" s="7">
        <v>0.98</v>
      </c>
      <c r="AL239" s="8">
        <v>3731</v>
      </c>
      <c r="AM239" s="14">
        <f>VLOOKUP(D239,[1]财务部报表_有人事号!$A$2:$D$400,3,0)</f>
        <v>1600</v>
      </c>
      <c r="AN239" s="14">
        <f>VLOOKUP(D239,[1]财务部报表_有人事号!$A$2:$E$400,4,0)</f>
        <v>39.15</v>
      </c>
      <c r="AR239" t="str">
        <f>LOOKUP(D239,[2]contacts!$A$2:$A$400,[2]contacts!$G$2:$G$400)</f>
        <v>376610048@qq.com</v>
      </c>
    </row>
    <row r="240" spans="1:44">
      <c r="A240" s="5" t="s">
        <v>38</v>
      </c>
      <c r="B240" s="6" t="s">
        <v>39</v>
      </c>
      <c r="C240" s="6" t="s">
        <v>40</v>
      </c>
      <c r="D240" s="17" t="s">
        <v>509</v>
      </c>
      <c r="E240" s="6" t="s">
        <v>510</v>
      </c>
      <c r="F240" s="7">
        <v>730</v>
      </c>
      <c r="G240" s="7">
        <v>317</v>
      </c>
      <c r="H240" s="7">
        <v>2102</v>
      </c>
      <c r="I240" s="7">
        <v>56</v>
      </c>
      <c r="J240" s="7">
        <v>20</v>
      </c>
      <c r="K240" s="7">
        <v>0</v>
      </c>
      <c r="L240" s="7">
        <v>526.17999999999995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3751.18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3751.98</v>
      </c>
      <c r="AJ240" s="7">
        <v>0.8</v>
      </c>
      <c r="AK240" s="7">
        <v>0.98</v>
      </c>
      <c r="AL240" s="8">
        <v>3751</v>
      </c>
      <c r="AM240" s="14">
        <f>VLOOKUP(D240,[1]财务部报表_有人事号!$A$2:$D$400,3,0)</f>
        <v>1600</v>
      </c>
      <c r="AN240" s="14">
        <f>VLOOKUP(D240,[1]财务部报表_有人事号!$A$2:$E$400,4,0)</f>
        <v>39.75</v>
      </c>
      <c r="AR240" t="str">
        <f>LOOKUP(D240,[2]contacts!$A$2:$A$400,[2]contacts!$G$2:$G$400)</f>
        <v>376610048@qq.com</v>
      </c>
    </row>
    <row r="241" spans="1:44">
      <c r="A241" s="5" t="s">
        <v>38</v>
      </c>
      <c r="B241" s="6" t="s">
        <v>39</v>
      </c>
      <c r="C241" s="6" t="s">
        <v>40</v>
      </c>
      <c r="D241" s="17" t="s">
        <v>511</v>
      </c>
      <c r="E241" s="6" t="s">
        <v>512</v>
      </c>
      <c r="F241" s="7">
        <v>730</v>
      </c>
      <c r="G241" s="7">
        <v>317</v>
      </c>
      <c r="H241" s="7">
        <v>2102</v>
      </c>
      <c r="I241" s="7">
        <v>56</v>
      </c>
      <c r="J241" s="7">
        <v>20</v>
      </c>
      <c r="K241" s="7">
        <v>0</v>
      </c>
      <c r="L241" s="7">
        <v>26.18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3251.18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3251.98</v>
      </c>
      <c r="AJ241" s="7">
        <v>0.8</v>
      </c>
      <c r="AK241" s="7">
        <v>0.98</v>
      </c>
      <c r="AL241" s="8">
        <v>3251</v>
      </c>
      <c r="AM241" s="14">
        <f>VLOOKUP(D241,[1]财务部报表_有人事号!$A$2:$D$400,3,0)</f>
        <v>1600</v>
      </c>
      <c r="AN241" s="14">
        <f>VLOOKUP(D241,[1]财务部报表_有人事号!$A$2:$E$400,4,0)</f>
        <v>39.75</v>
      </c>
      <c r="AR241" t="str">
        <f>LOOKUP(D241,[2]contacts!$A$2:$A$400,[2]contacts!$G$2:$G$400)</f>
        <v>275401420@qq.com</v>
      </c>
    </row>
    <row r="242" spans="1:44" ht="14.25" thickBot="1">
      <c r="A242" s="9" t="s">
        <v>38</v>
      </c>
      <c r="B242" s="10" t="s">
        <v>39</v>
      </c>
      <c r="C242" s="10" t="s">
        <v>40</v>
      </c>
      <c r="D242" s="18" t="s">
        <v>513</v>
      </c>
      <c r="E242" s="10" t="s">
        <v>514</v>
      </c>
      <c r="F242" s="11">
        <v>730</v>
      </c>
      <c r="G242" s="11">
        <v>341</v>
      </c>
      <c r="H242" s="11">
        <v>2102</v>
      </c>
      <c r="I242" s="11">
        <v>56</v>
      </c>
      <c r="J242" s="11">
        <v>0</v>
      </c>
      <c r="K242" s="11">
        <v>0</v>
      </c>
      <c r="L242" s="11">
        <v>26.77</v>
      </c>
      <c r="M242" s="11">
        <v>0</v>
      </c>
      <c r="N242" s="11">
        <v>0</v>
      </c>
      <c r="O242" s="11">
        <v>0</v>
      </c>
      <c r="P242" s="11">
        <v>0</v>
      </c>
      <c r="Q242" s="11">
        <v>0</v>
      </c>
      <c r="R242" s="11">
        <v>0</v>
      </c>
      <c r="S242" s="11">
        <v>0</v>
      </c>
      <c r="T242" s="11">
        <v>3255.77</v>
      </c>
      <c r="U242" s="11">
        <v>0</v>
      </c>
      <c r="V242" s="11">
        <v>0</v>
      </c>
      <c r="W242" s="11">
        <v>0</v>
      </c>
      <c r="X242" s="11">
        <v>10.71</v>
      </c>
      <c r="Y242" s="11">
        <v>0</v>
      </c>
      <c r="Z242" s="11">
        <v>3.65</v>
      </c>
      <c r="AA242" s="11">
        <v>0</v>
      </c>
      <c r="AB242" s="11">
        <v>0</v>
      </c>
      <c r="AC242" s="11">
        <v>0</v>
      </c>
      <c r="AD242" s="11">
        <v>0</v>
      </c>
      <c r="AE242" s="11">
        <v>793</v>
      </c>
      <c r="AF242" s="11">
        <v>0</v>
      </c>
      <c r="AG242" s="11">
        <v>0</v>
      </c>
      <c r="AH242" s="11">
        <v>807.36</v>
      </c>
      <c r="AI242" s="11">
        <v>2448.59</v>
      </c>
      <c r="AJ242" s="11">
        <v>0.18</v>
      </c>
      <c r="AK242" s="11">
        <v>0.59</v>
      </c>
      <c r="AL242" s="12">
        <v>2448</v>
      </c>
      <c r="AM242" s="14">
        <f>VLOOKUP(D242,[1]财务部报表_有人事号!$A$2:$D$400,3,0)</f>
        <v>1580</v>
      </c>
      <c r="AN242" s="14">
        <f>VLOOKUP(D242,[1]财务部报表_有人事号!$A$2:$E$400,4,0)</f>
        <v>15.16</v>
      </c>
      <c r="AR242" t="str">
        <f>LOOKUP(D242,[2]contacts!$A$2:$A$400,[2]contacts!$G$2:$G$400)</f>
        <v>18208530@qq.com</v>
      </c>
    </row>
  </sheetData>
  <phoneticPr fontId="2" type="noConversion"/>
  <conditionalFormatting sqref="AR1:AR1048576">
    <cfRule type="duplicateValues" dxfId="2" priority="1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发送工资单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2013-08-19T09:23:55Z</dcterms:modified>
</cp:coreProperties>
</file>